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103de8270b2d233/SEMESTRE 8/GESTIÓN DE PROYECTOS/"/>
    </mc:Choice>
  </mc:AlternateContent>
  <xr:revisionPtr revIDLastSave="40" documentId="11_CB8123A6AC0E9AF6163631794570CCC84133C146" xr6:coauthVersionLast="47" xr6:coauthVersionMax="47" xr10:uidLastSave="{FCDF34F1-05C8-44FE-9BD2-1522A4C048D6}"/>
  <bookViews>
    <workbookView xWindow="-108" yWindow="-108" windowWidth="23256" windowHeight="12456" xr2:uid="{00000000-000D-0000-FFFF-FFFF00000000}"/>
  </bookViews>
  <sheets>
    <sheet name="EVM Sprint 4 – 76B12" sheetId="1" r:id="rId1"/>
    <sheet name="Ejempl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F21" i="2" s="1"/>
  <c r="G21" i="2" s="1"/>
  <c r="H21" i="2" s="1"/>
  <c r="I21" i="2" s="1"/>
  <c r="J21" i="2" s="1"/>
  <c r="D21" i="2"/>
  <c r="E19" i="2"/>
  <c r="F19" i="2" s="1"/>
  <c r="G19" i="2" s="1"/>
  <c r="H19" i="2" s="1"/>
  <c r="I19" i="2" s="1"/>
  <c r="J19" i="2" s="1"/>
  <c r="K19" i="2" s="1"/>
  <c r="L19" i="2" s="1"/>
  <c r="M19" i="2" s="1"/>
  <c r="N19" i="2" s="1"/>
  <c r="O19" i="2" s="1"/>
  <c r="C26" i="2" s="1"/>
  <c r="D19" i="2"/>
  <c r="G23" i="2" l="1"/>
  <c r="J23" i="2"/>
  <c r="F23" i="2"/>
  <c r="I23" i="2"/>
  <c r="E23" i="2"/>
  <c r="H23" i="2"/>
  <c r="D23" i="2"/>
  <c r="D24" i="2" l="1"/>
  <c r="E24" i="2"/>
  <c r="F24" i="2" s="1"/>
  <c r="G24" i="2" s="1"/>
  <c r="H24" i="2" s="1"/>
  <c r="I24" i="2" s="1"/>
  <c r="J24" i="2" s="1"/>
  <c r="C29" i="2" l="1"/>
  <c r="C32" i="2"/>
  <c r="C31" i="2"/>
  <c r="C33" i="2" s="1"/>
  <c r="C30" i="2"/>
</calcChain>
</file>

<file path=xl/sharedStrings.xml><?xml version="1.0" encoding="utf-8"?>
<sst xmlns="http://schemas.openxmlformats.org/spreadsheetml/2006/main" count="99" uniqueCount="69">
  <si>
    <t>Gestión del Valor Ganado</t>
  </si>
  <si>
    <t>Valor Ganado</t>
  </si>
  <si>
    <t>Proyecto:</t>
  </si>
  <si>
    <t>Segmentación de Mercado para Targeting (Mall Customer Segmentation)</t>
  </si>
  <si>
    <t>ID:</t>
  </si>
  <si>
    <t>76B12</t>
  </si>
  <si>
    <t>Fecha de Inicio</t>
  </si>
  <si>
    <t>Fecha Fin:</t>
  </si>
  <si>
    <t>Fecha de Corte: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</si>
  <si>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</si>
  <si>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</si>
  <si>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</si>
  <si>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</si>
  <si>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</si>
  <si>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</si>
  <si>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</si>
  <si>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</si>
  <si>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</si>
  <si>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</si>
  <si>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</si>
  <si>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</si>
  <si>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Valor Planificado</t>
  </si>
  <si>
    <t>Valor Planificado Acumulado</t>
  </si>
  <si>
    <t>PV</t>
  </si>
  <si>
    <t>Costo Real</t>
  </si>
  <si>
    <t>Costo Real Acumulado</t>
  </si>
  <si>
    <t>AC</t>
  </si>
  <si>
    <t>Porcentaje de avance completado del mes</t>
  </si>
  <si>
    <t>%comp</t>
  </si>
  <si>
    <t xml:space="preserve">Valor ganado del trabajo realizado  </t>
  </si>
  <si>
    <t>Valor ganado del trabajo realizado acumulado</t>
  </si>
  <si>
    <t>EV</t>
  </si>
  <si>
    <t xml:space="preserve"> </t>
  </si>
  <si>
    <t>Costo total prespuestado BAC</t>
  </si>
  <si>
    <t>Indices y variaciones</t>
  </si>
  <si>
    <t>Valor</t>
  </si>
  <si>
    <t>Variación del costo (CV/Cost Variance) [CV=EV-AC]</t>
  </si>
  <si>
    <t>Variación del cronograma (SV/Schedule Variance)                    [SV=EV-PV]</t>
  </si>
  <si>
    <t>Índice de desempeño del costo (CPI/Cost Performance Index) [CPI = EV/AC]</t>
  </si>
  <si>
    <t>Índice de desempeño del cronograma del proyecto (SPI/Schedule Performance Index) [SPI = EV/PV]</t>
  </si>
  <si>
    <t>Estimación a la conclusión (EAC/Estimate at Completion)           [EAC = BAC/CPI]</t>
  </si>
  <si>
    <t>CV negativa, el proyecto está sobre gastado</t>
  </si>
  <si>
    <t>CV positiva, el proyecto ha gastado menos de lo presupuestado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</si>
  <si>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</si>
  <si>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</si>
  <si>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</si>
  <si>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</si>
  <si>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</si>
  <si>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</si>
  <si>
    <t>Apoyo Educativo</t>
  </si>
  <si>
    <t>HT2011-12</t>
  </si>
  <si>
    <t>Año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</si>
  <si>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</si>
  <si>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</si>
  <si>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</si>
  <si>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</si>
  <si>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</si>
  <si>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</si>
  <si>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</si>
  <si>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</si>
  <si>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</si>
  <si>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</si>
  <si>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</si>
  <si>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</si>
  <si>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[EV= % comp x BAC]</t>
  </si>
  <si>
    <t>Costo total prespuestado (BAC)</t>
  </si>
  <si>
    <t>Variación del cronograma (SV/Schedule Variance)         [SV=EV-PV]</t>
  </si>
  <si>
    <t>Índice de desempeño del costo (CPI/Cost Performance Index)   [CPI = EV/AC]</t>
  </si>
  <si>
    <t>Estimación a la conclusión (EAC/Estimate at Completion)        [EAC = BAC/CPI]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</si>
</sst>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0.0"/>
    <numFmt numFmtId="165" formatCode="0.0000"/>
    <numFmt numFmtId="166" formatCode="_-* #,##0_-;\-* #,##0_-;_-* &quot;-&quot;??_-;_-@_-"/>
    <numFmt numFmtId="167" formatCode="_-&quot;$&quot;* #,##0_-;\-&quot;$&quot;* #,##0_-;_-&quot;$&quot;* &quot;-&quot;??_-;_-@_-"/>
    <numFmt numFmtId="168" formatCode="0.0%"/>
    <numFmt numFmtId="169" formatCode="#,##0_ ;[Red]\-#,##0\ 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" fillId="0" borderId="0"/>
    <xf numFmtId="9" fontId="4" fillId="0" borderId="0"/>
  </cellStyleXfs>
  <cellXfs count="94">
    <xf numFmtId="0" fontId="0" fillId="0" borderId="0" xfId="0"/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vertical="center"/>
    </xf>
    <xf numFmtId="164" fontId="0" fillId="0" borderId="0" xfId="0" applyNumberFormat="1"/>
    <xf numFmtId="3" fontId="5" fillId="2" borderId="9" xfId="0" applyNumberFormat="1" applyFont="1" applyFill="1" applyBorder="1" applyAlignment="1">
      <alignment horizontal="center" vertical="top" wrapText="1"/>
    </xf>
    <xf numFmtId="3" fontId="5" fillId="2" borderId="10" xfId="0" applyNumberFormat="1" applyFont="1" applyFill="1" applyBorder="1" applyAlignment="1">
      <alignment horizontal="center" vertical="top" wrapText="1"/>
    </xf>
    <xf numFmtId="3" fontId="5" fillId="2" borderId="11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2" fontId="2" fillId="0" borderId="6" xfId="0" applyNumberFormat="1" applyFont="1" applyBorder="1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5" xfId="0" applyBorder="1"/>
    <xf numFmtId="0" fontId="0" fillId="0" borderId="16" xfId="0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5" borderId="15" xfId="0" applyFont="1" applyFill="1" applyBorder="1"/>
    <xf numFmtId="0" fontId="9" fillId="5" borderId="5" xfId="0" applyFont="1" applyFill="1" applyBorder="1" applyAlignment="1">
      <alignment horizontal="center"/>
    </xf>
    <xf numFmtId="3" fontId="2" fillId="3" borderId="5" xfId="0" applyNumberFormat="1" applyFont="1" applyFill="1" applyBorder="1" applyAlignment="1" applyProtection="1">
      <alignment horizontal="right" vertical="top" wrapText="1"/>
      <protection locked="0"/>
    </xf>
    <xf numFmtId="3" fontId="2" fillId="3" borderId="6" xfId="0" applyNumberFormat="1" applyFont="1" applyFill="1" applyBorder="1" applyAlignment="1" applyProtection="1">
      <alignment horizontal="right" vertical="top" wrapText="1"/>
      <protection locked="0"/>
    </xf>
    <xf numFmtId="0" fontId="11" fillId="0" borderId="1" xfId="0" applyFont="1" applyBorder="1" applyAlignment="1">
      <alignment vertical="center" wrapText="1"/>
    </xf>
    <xf numFmtId="0" fontId="9" fillId="5" borderId="12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11" fillId="0" borderId="2" xfId="0" applyFont="1" applyBorder="1" applyAlignment="1">
      <alignment vertical="center" wrapText="1"/>
    </xf>
    <xf numFmtId="166" fontId="2" fillId="0" borderId="4" xfId="1" applyNumberFormat="1" applyFont="1" applyBorder="1" applyAlignment="1">
      <alignment horizontal="right"/>
    </xf>
    <xf numFmtId="0" fontId="9" fillId="5" borderId="9" xfId="0" applyFont="1" applyFill="1" applyBorder="1" applyAlignment="1">
      <alignment horizontal="right"/>
    </xf>
    <xf numFmtId="0" fontId="0" fillId="5" borderId="12" xfId="0" applyFill="1" applyBorder="1"/>
    <xf numFmtId="0" fontId="9" fillId="5" borderId="18" xfId="0" applyFont="1" applyFill="1" applyBorder="1"/>
    <xf numFmtId="0" fontId="0" fillId="5" borderId="1" xfId="0" applyFill="1" applyBorder="1"/>
    <xf numFmtId="0" fontId="9" fillId="5" borderId="6" xfId="0" applyFont="1" applyFill="1" applyBorder="1" applyAlignment="1">
      <alignment horizontal="center"/>
    </xf>
    <xf numFmtId="0" fontId="0" fillId="0" borderId="21" xfId="0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0" fontId="9" fillId="5" borderId="3" xfId="0" applyFont="1" applyFill="1" applyBorder="1" applyAlignment="1">
      <alignment horizontal="center"/>
    </xf>
    <xf numFmtId="167" fontId="0" fillId="3" borderId="5" xfId="1" applyNumberFormat="1" applyFont="1" applyFill="1" applyBorder="1"/>
    <xf numFmtId="167" fontId="0" fillId="3" borderId="17" xfId="1" applyNumberFormat="1" applyFont="1" applyFill="1" applyBorder="1"/>
    <xf numFmtId="167" fontId="0" fillId="3" borderId="14" xfId="1" applyNumberFormat="1" applyFont="1" applyFill="1" applyBorder="1"/>
    <xf numFmtId="0" fontId="11" fillId="0" borderId="0" xfId="0" applyFont="1" applyAlignment="1">
      <alignment vertical="center" wrapText="1"/>
    </xf>
    <xf numFmtId="168" fontId="2" fillId="3" borderId="22" xfId="2" applyNumberFormat="1" applyFont="1" applyFill="1" applyBorder="1" applyAlignment="1">
      <alignment horizontal="right" vertical="top" wrapText="1"/>
    </xf>
    <xf numFmtId="168" fontId="2" fillId="3" borderId="23" xfId="2" applyNumberFormat="1" applyFont="1" applyFill="1" applyBorder="1" applyAlignment="1">
      <alignment horizontal="right" vertical="top" wrapText="1"/>
    </xf>
    <xf numFmtId="168" fontId="2" fillId="3" borderId="24" xfId="2" applyNumberFormat="1" applyFont="1" applyFill="1" applyBorder="1" applyAlignment="1">
      <alignment horizontal="right" vertical="top" wrapText="1"/>
    </xf>
    <xf numFmtId="169" fontId="0" fillId="3" borderId="5" xfId="1" applyNumberFormat="1" applyFont="1" applyFill="1" applyBorder="1"/>
    <xf numFmtId="0" fontId="9" fillId="5" borderId="12" xfId="0" applyFont="1" applyFill="1" applyBorder="1" applyAlignment="1">
      <alignment horizontal="right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5" xfId="0" applyBorder="1"/>
    <xf numFmtId="14" fontId="0" fillId="0" borderId="26" xfId="0" applyNumberFormat="1" applyBorder="1"/>
    <xf numFmtId="14" fontId="0" fillId="0" borderId="27" xfId="0" applyNumberFormat="1" applyBorder="1"/>
    <xf numFmtId="0" fontId="9" fillId="5" borderId="26" xfId="0" applyFont="1" applyFill="1" applyBorder="1"/>
    <xf numFmtId="0" fontId="9" fillId="5" borderId="27" xfId="0" applyFont="1" applyFill="1" applyBorder="1"/>
    <xf numFmtId="3" fontId="2" fillId="3" borderId="23" xfId="0" applyNumberFormat="1" applyFont="1" applyFill="1" applyBorder="1" applyAlignment="1">
      <alignment horizontal="right" vertical="top" wrapText="1"/>
    </xf>
    <xf numFmtId="3" fontId="2" fillId="3" borderId="24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44" fontId="2" fillId="3" borderId="7" xfId="1" applyFont="1" applyFill="1" applyBorder="1" applyAlignment="1" applyProtection="1">
      <alignment horizontal="right" vertical="top" wrapText="1"/>
      <protection locked="0"/>
    </xf>
    <xf numFmtId="44" fontId="2" fillId="3" borderId="7" xfId="1" quotePrefix="1" applyFont="1" applyFill="1" applyBorder="1" applyAlignment="1" applyProtection="1">
      <alignment horizontal="right" vertical="top" wrapText="1"/>
      <protection locked="0"/>
    </xf>
    <xf numFmtId="44" fontId="2" fillId="3" borderId="8" xfId="1" applyFont="1" applyFill="1" applyBorder="1" applyAlignment="1" applyProtection="1">
      <alignment horizontal="right" vertical="top" wrapText="1"/>
      <protection locked="0"/>
    </xf>
    <xf numFmtId="10" fontId="2" fillId="3" borderId="22" xfId="2" applyNumberFormat="1" applyFont="1" applyFill="1" applyBorder="1" applyAlignment="1">
      <alignment horizontal="right" vertical="top" wrapText="1"/>
    </xf>
    <xf numFmtId="10" fontId="2" fillId="3" borderId="23" xfId="2" applyNumberFormat="1" applyFont="1" applyFill="1" applyBorder="1" applyAlignment="1">
      <alignment horizontal="right" vertical="top" wrapText="1"/>
    </xf>
    <xf numFmtId="167" fontId="0" fillId="0" borderId="0" xfId="0" applyNumberFormat="1" applyAlignment="1">
      <alignment horizontal="right"/>
    </xf>
    <xf numFmtId="167" fontId="12" fillId="3" borderId="11" xfId="0" applyNumberFormat="1" applyFont="1" applyFill="1" applyBorder="1" applyAlignment="1">
      <alignment horizontal="center"/>
    </xf>
    <xf numFmtId="167" fontId="0" fillId="3" borderId="5" xfId="1" applyNumberFormat="1" applyFont="1" applyFill="1" applyBorder="1" applyAlignment="1">
      <alignment vertical="center"/>
    </xf>
    <xf numFmtId="169" fontId="0" fillId="3" borderId="5" xfId="1" applyNumberFormat="1" applyFont="1" applyFill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0" fontId="9" fillId="5" borderId="20" xfId="0" applyFont="1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10" fillId="4" borderId="0" xfId="0" applyFont="1" applyFill="1" applyAlignment="1">
      <alignment horizontal="center"/>
    </xf>
    <xf numFmtId="0" fontId="0" fillId="0" borderId="0" xfId="0"/>
    <xf numFmtId="14" fontId="8" fillId="3" borderId="0" xfId="0" applyNumberFormat="1" applyFont="1" applyFill="1" applyAlignment="1" applyProtection="1">
      <alignment horizontal="center" vertical="top" wrapText="1"/>
      <protection locked="0"/>
    </xf>
    <xf numFmtId="0" fontId="0" fillId="0" borderId="0" xfId="0" applyProtection="1">
      <protection locked="0"/>
    </xf>
    <xf numFmtId="1" fontId="8" fillId="3" borderId="0" xfId="0" applyNumberFormat="1" applyFont="1" applyFill="1" applyAlignment="1" applyProtection="1">
      <alignment horizontal="center" vertical="top" wrapText="1"/>
      <protection locked="0"/>
    </xf>
    <xf numFmtId="14" fontId="0" fillId="0" borderId="4" xfId="0" applyNumberFormat="1" applyBorder="1" applyAlignment="1">
      <alignment horizontal="center"/>
    </xf>
    <xf numFmtId="0" fontId="0" fillId="0" borderId="28" xfId="0" applyBorder="1"/>
    <xf numFmtId="0" fontId="0" fillId="0" borderId="29" xfId="0" applyBorder="1"/>
    <xf numFmtId="14" fontId="0" fillId="0" borderId="3" xfId="0" applyNumberFormat="1" applyBorder="1" applyAlignment="1">
      <alignment horizontal="center"/>
    </xf>
    <xf numFmtId="0" fontId="0" fillId="0" borderId="27" xfId="0" applyBorder="1"/>
    <xf numFmtId="14" fontId="13" fillId="0" borderId="26" xfId="0" applyNumberFormat="1" applyFont="1" applyBorder="1" applyAlignment="1">
      <alignment horizontal="center"/>
    </xf>
    <xf numFmtId="14" fontId="13" fillId="0" borderId="28" xfId="0" applyNumberFormat="1" applyFont="1" applyBorder="1" applyAlignment="1">
      <alignment horizontal="center"/>
    </xf>
    <xf numFmtId="14" fontId="13" fillId="0" borderId="27" xfId="0" applyNumberFormat="1" applyFont="1" applyBorder="1" applyAlignment="1">
      <alignment horizontal="center"/>
    </xf>
    <xf numFmtId="0" fontId="0" fillId="0" borderId="0" xfId="0" applyBorder="1"/>
    <xf numFmtId="14" fontId="0" fillId="0" borderId="0" xfId="0" applyNumberFormat="1" applyBorder="1"/>
    <xf numFmtId="0" fontId="9" fillId="0" borderId="0" xfId="0" applyFont="1" applyFill="1" applyBorder="1"/>
    <xf numFmtId="0" fontId="0" fillId="0" borderId="30" xfId="0" applyBorder="1"/>
    <xf numFmtId="0" fontId="0" fillId="0" borderId="22" xfId="0" applyBorder="1"/>
  </cellXfs>
  <cellStyles count="3">
    <cellStyle name="Moneda" xfId="1" builtinId="4"/>
    <cellStyle name="Normal" xfId="0" builtinId="0"/>
    <cellStyle name="Porcentaje" xfId="2" builtinId="5"/>
  </cellStyles>
  <dxfs count="61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alignment horizontal="right" vertical="top" wrapText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alignment horizontal="right" vertical="top" wrapText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Valor</a:t>
            </a:r>
            <a:r>
              <a:rPr lang="es-MX" baseline="0"/>
              <a:t> Ganado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'EVM Sprint 4 – 76B12'!$D$17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'EVM Sprint 4 – 76B12'!$E$16:$O$16</c:f>
              <c:strCache>
                <c:ptCount val="11"/>
                <c:pt idx="0">
                  <c:v>Semana 2</c:v>
                </c:pt>
                <c:pt idx="1">
                  <c:v>Semana 3</c:v>
                </c:pt>
                <c:pt idx="2">
                  <c:v>Semana 4</c:v>
                </c:pt>
                <c:pt idx="3">
                  <c:v>Semana 5</c:v>
                </c:pt>
                <c:pt idx="4">
                  <c:v>Semana 6</c:v>
                </c:pt>
                <c:pt idx="5">
                  <c:v>Semana 7</c:v>
                </c:pt>
                <c:pt idx="6">
                  <c:v>Semana 8</c:v>
                </c:pt>
                <c:pt idx="7">
                  <c:v>Semana 9</c:v>
                </c:pt>
                <c:pt idx="8">
                  <c:v>Semana 10</c:v>
                </c:pt>
                <c:pt idx="9">
                  <c:v>Semana 11</c:v>
                </c:pt>
                <c:pt idx="10">
                  <c:v>Semana 12</c:v>
                </c:pt>
              </c:strCache>
            </c:strRef>
          </c:cat>
          <c:val>
            <c:numRef>
              <c:f>'EVM Sprint 4 – 76B12'!$E$17:$O$17</c:f>
            </c:numRef>
          </c:val>
          <c:smooth val="0"/>
          <c:extLst>
            <c:ext xmlns:c16="http://schemas.microsoft.com/office/drawing/2014/chart" uri="{C3380CC4-5D6E-409C-BE32-E72D297353CC}">
              <c16:uniqueId val="{00000000-24A1-464D-A49D-AE23D9CB7AAA}"/>
            </c:ext>
          </c:extLst>
        </c:ser>
        <c:ser>
          <c:idx val="2"/>
          <c:order val="2"/>
          <c:tx>
            <c:strRef>
              <c:f>'EVM Sprint 4 – 76B12'!$D$19</c:f>
              <c:strCache>
                <c:ptCount val="1"/>
                <c:pt idx="0">
                  <c:v> $2,000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'EVM Sprint 4 – 76B12'!$E$16:$O$16</c:f>
              <c:strCache>
                <c:ptCount val="11"/>
                <c:pt idx="0">
                  <c:v>Semana 2</c:v>
                </c:pt>
                <c:pt idx="1">
                  <c:v>Semana 3</c:v>
                </c:pt>
                <c:pt idx="2">
                  <c:v>Semana 4</c:v>
                </c:pt>
                <c:pt idx="3">
                  <c:v>Semana 5</c:v>
                </c:pt>
                <c:pt idx="4">
                  <c:v>Semana 6</c:v>
                </c:pt>
                <c:pt idx="5">
                  <c:v>Semana 7</c:v>
                </c:pt>
                <c:pt idx="6">
                  <c:v>Semana 8</c:v>
                </c:pt>
                <c:pt idx="7">
                  <c:v>Semana 9</c:v>
                </c:pt>
                <c:pt idx="8">
                  <c:v>Semana 10</c:v>
                </c:pt>
                <c:pt idx="9">
                  <c:v>Semana 11</c:v>
                </c:pt>
                <c:pt idx="10">
                  <c:v>Semana 12</c:v>
                </c:pt>
              </c:strCache>
            </c:strRef>
          </c:cat>
          <c:val>
            <c:numRef>
              <c:f>'EVM Sprint 4 – 76B12'!$E$19:$O$19</c:f>
              <c:numCache>
                <c:formatCode>_-"$"* #,##0_-;\-"$"* #,##0_-;_-"$"* "-"??_-;_-@_-</c:formatCode>
                <c:ptCount val="11"/>
                <c:pt idx="0">
                  <c:v>4000</c:v>
                </c:pt>
                <c:pt idx="1">
                  <c:v>7400</c:v>
                </c:pt>
                <c:pt idx="2">
                  <c:v>10000</c:v>
                </c:pt>
                <c:pt idx="3">
                  <c:v>14300</c:v>
                </c:pt>
                <c:pt idx="4">
                  <c:v>19000</c:v>
                </c:pt>
                <c:pt idx="5">
                  <c:v>23500</c:v>
                </c:pt>
                <c:pt idx="6">
                  <c:v>27000</c:v>
                </c:pt>
                <c:pt idx="7">
                  <c:v>30000</c:v>
                </c:pt>
                <c:pt idx="8">
                  <c:v>32000</c:v>
                </c:pt>
                <c:pt idx="9">
                  <c:v>34100</c:v>
                </c:pt>
                <c:pt idx="10">
                  <c:v>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A1-464D-A49D-AE23D9CB7AAA}"/>
            </c:ext>
          </c:extLst>
        </c:ser>
        <c:ser>
          <c:idx val="4"/>
          <c:order val="4"/>
          <c:tx>
            <c:strRef>
              <c:f>'EVM Sprint 4 – 76B12'!$D$21</c:f>
              <c:strCache>
                <c:ptCount val="1"/>
                <c:pt idx="0">
                  <c:v> $1,800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'EVM Sprint 4 – 76B12'!$E$16:$O$16</c:f>
              <c:strCache>
                <c:ptCount val="11"/>
                <c:pt idx="0">
                  <c:v>Semana 2</c:v>
                </c:pt>
                <c:pt idx="1">
                  <c:v>Semana 3</c:v>
                </c:pt>
                <c:pt idx="2">
                  <c:v>Semana 4</c:v>
                </c:pt>
                <c:pt idx="3">
                  <c:v>Semana 5</c:v>
                </c:pt>
                <c:pt idx="4">
                  <c:v>Semana 6</c:v>
                </c:pt>
                <c:pt idx="5">
                  <c:v>Semana 7</c:v>
                </c:pt>
                <c:pt idx="6">
                  <c:v>Semana 8</c:v>
                </c:pt>
                <c:pt idx="7">
                  <c:v>Semana 9</c:v>
                </c:pt>
                <c:pt idx="8">
                  <c:v>Semana 10</c:v>
                </c:pt>
                <c:pt idx="9">
                  <c:v>Semana 11</c:v>
                </c:pt>
                <c:pt idx="10">
                  <c:v>Semana 12</c:v>
                </c:pt>
              </c:strCache>
            </c:strRef>
          </c:cat>
          <c:val>
            <c:numRef>
              <c:f>'EVM Sprint 4 – 76B12'!$E$21:$O$21</c:f>
              <c:numCache>
                <c:formatCode>_-"$"* #,##0_-;\-"$"* #,##0_-;_-"$"* "-"??_-;_-@_-</c:formatCode>
                <c:ptCount val="11"/>
                <c:pt idx="0">
                  <c:v>3700</c:v>
                </c:pt>
                <c:pt idx="1">
                  <c:v>6900</c:v>
                </c:pt>
                <c:pt idx="2">
                  <c:v>9300</c:v>
                </c:pt>
                <c:pt idx="3">
                  <c:v>13400</c:v>
                </c:pt>
                <c:pt idx="4">
                  <c:v>17900</c:v>
                </c:pt>
                <c:pt idx="5">
                  <c:v>22200</c:v>
                </c:pt>
                <c:pt idx="6">
                  <c:v>25600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A1-464D-A49D-AE23D9CB7AAA}"/>
            </c:ext>
          </c:extLst>
        </c:ser>
        <c:ser>
          <c:idx val="7"/>
          <c:order val="7"/>
          <c:tx>
            <c:strRef>
              <c:f>'EVM Sprint 4 – 76B12'!$D$24</c:f>
              <c:strCache>
                <c:ptCount val="1"/>
                <c:pt idx="0">
                  <c:v> $2,923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'EVM Sprint 4 – 76B12'!$E$16:$O$16</c:f>
              <c:strCache>
                <c:ptCount val="11"/>
                <c:pt idx="0">
                  <c:v>Semana 2</c:v>
                </c:pt>
                <c:pt idx="1">
                  <c:v>Semana 3</c:v>
                </c:pt>
                <c:pt idx="2">
                  <c:v>Semana 4</c:v>
                </c:pt>
                <c:pt idx="3">
                  <c:v>Semana 5</c:v>
                </c:pt>
                <c:pt idx="4">
                  <c:v>Semana 6</c:v>
                </c:pt>
                <c:pt idx="5">
                  <c:v>Semana 7</c:v>
                </c:pt>
                <c:pt idx="6">
                  <c:v>Semana 8</c:v>
                </c:pt>
                <c:pt idx="7">
                  <c:v>Semana 9</c:v>
                </c:pt>
                <c:pt idx="8">
                  <c:v>Semana 10</c:v>
                </c:pt>
                <c:pt idx="9">
                  <c:v>Semana 11</c:v>
                </c:pt>
                <c:pt idx="10">
                  <c:v>Semana 12</c:v>
                </c:pt>
              </c:strCache>
            </c:strRef>
          </c:cat>
          <c:val>
            <c:numRef>
              <c:f>'EVM Sprint 4 – 76B12'!$E$24:$O$24</c:f>
              <c:numCache>
                <c:formatCode>_-"$"* #,##0_-;\-"$"* #,##0_-;_-"$"* "-"??_-;_-@_-</c:formatCode>
                <c:ptCount val="11"/>
                <c:pt idx="0">
                  <c:v>5845</c:v>
                </c:pt>
                <c:pt idx="1">
                  <c:v>9243.5</c:v>
                </c:pt>
                <c:pt idx="2">
                  <c:v>11844</c:v>
                </c:pt>
                <c:pt idx="3">
                  <c:v>16145.5</c:v>
                </c:pt>
                <c:pt idx="4">
                  <c:v>20846</c:v>
                </c:pt>
                <c:pt idx="5">
                  <c:v>25346</c:v>
                </c:pt>
                <c:pt idx="6">
                  <c:v>28846</c:v>
                </c:pt>
                <c:pt idx="7">
                  <c:v>28846</c:v>
                </c:pt>
                <c:pt idx="8">
                  <c:v>28846</c:v>
                </c:pt>
                <c:pt idx="9">
                  <c:v>28846</c:v>
                </c:pt>
                <c:pt idx="10">
                  <c:v>28846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4A1-464D-A49D-AE23D9CB7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2388000"/>
        <c:axId val="121240432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'EVM Sprint 4 – 76B12'!$D$18</c15:sqref>
                        </c15:formulaRef>
                      </c:ext>
                    </c:extLst>
                    <c:strCache>
                      <c:ptCount val="1"/>
                      <c:pt idx="0">
                        <c:v> $2,000.00 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'EVM Sprint 4 – 76B12'!$E$16:$O$16</c15:sqref>
                        </c15:formulaRef>
                      </c:ext>
                    </c:extLst>
                    <c:strCache>
                      <c:ptCount val="11"/>
                      <c:pt idx="0">
                        <c:v>Semana 2</c:v>
                      </c:pt>
                      <c:pt idx="1">
                        <c:v>Semana 3</c:v>
                      </c:pt>
                      <c:pt idx="2">
                        <c:v>Semana 4</c:v>
                      </c:pt>
                      <c:pt idx="3">
                        <c:v>Semana 5</c:v>
                      </c:pt>
                      <c:pt idx="4">
                        <c:v>Semana 6</c:v>
                      </c:pt>
                      <c:pt idx="5">
                        <c:v>Semana 7</c:v>
                      </c:pt>
                      <c:pt idx="6">
                        <c:v>Semana 8</c:v>
                      </c:pt>
                      <c:pt idx="7">
                        <c:v>Semana 9</c:v>
                      </c:pt>
                      <c:pt idx="8">
                        <c:v>Semana 10</c:v>
                      </c:pt>
                      <c:pt idx="9">
                        <c:v>Semana 11</c:v>
                      </c:pt>
                      <c:pt idx="10">
                        <c:v>Semana 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'EVM Sprint 4 – 76B12'!$E$18:$O$18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1"/>
                      <c:pt idx="0">
                        <c:v>2000</c:v>
                      </c:pt>
                      <c:pt idx="1">
                        <c:v>3400</c:v>
                      </c:pt>
                      <c:pt idx="2">
                        <c:v>2600</c:v>
                      </c:pt>
                      <c:pt idx="3">
                        <c:v>4300</c:v>
                      </c:pt>
                      <c:pt idx="4">
                        <c:v>4700</c:v>
                      </c:pt>
                      <c:pt idx="5">
                        <c:v>4500</c:v>
                      </c:pt>
                      <c:pt idx="6">
                        <c:v>3500</c:v>
                      </c:pt>
                      <c:pt idx="7">
                        <c:v>3000</c:v>
                      </c:pt>
                      <c:pt idx="8">
                        <c:v>2000</c:v>
                      </c:pt>
                      <c:pt idx="9">
                        <c:v>2100</c:v>
                      </c:pt>
                      <c:pt idx="10">
                        <c:v>900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4A1-464D-A49D-AE23D9CB7AA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'EVM Sprint 4 – 76B12'!$D$20</c15:sqref>
                        </c15:formulaRef>
                      </c:ext>
                    </c:extLst>
                    <c:strCache>
                      <c:ptCount val="1"/>
                      <c:pt idx="0">
                        <c:v>1,800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'EVM Sprint 4 – 76B12'!$E$16:$O$16</c15:sqref>
                        </c15:formulaRef>
                      </c:ext>
                    </c:extLst>
                    <c:strCache>
                      <c:ptCount val="11"/>
                      <c:pt idx="0">
                        <c:v>Semana 2</c:v>
                      </c:pt>
                      <c:pt idx="1">
                        <c:v>Semana 3</c:v>
                      </c:pt>
                      <c:pt idx="2">
                        <c:v>Semana 4</c:v>
                      </c:pt>
                      <c:pt idx="3">
                        <c:v>Semana 5</c:v>
                      </c:pt>
                      <c:pt idx="4">
                        <c:v>Semana 6</c:v>
                      </c:pt>
                      <c:pt idx="5">
                        <c:v>Semana 7</c:v>
                      </c:pt>
                      <c:pt idx="6">
                        <c:v>Semana 8</c:v>
                      </c:pt>
                      <c:pt idx="7">
                        <c:v>Semana 9</c:v>
                      </c:pt>
                      <c:pt idx="8">
                        <c:v>Semana 10</c:v>
                      </c:pt>
                      <c:pt idx="9">
                        <c:v>Semana 11</c:v>
                      </c:pt>
                      <c:pt idx="10">
                        <c:v>Semana 12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'EVM Sprint 4 – 76B12'!$E$20:$O$20</c15:sqref>
                        </c15:formulaRef>
                      </c:ext>
                    </c:extLst>
                    <c:numCache>
                      <c:formatCode>#,##0</c:formatCode>
                      <c:ptCount val="11"/>
                      <c:pt idx="0">
                        <c:v>1900</c:v>
                      </c:pt>
                      <c:pt idx="1">
                        <c:v>3200</c:v>
                      </c:pt>
                      <c:pt idx="2">
                        <c:v>2400</c:v>
                      </c:pt>
                      <c:pt idx="3">
                        <c:v>4100</c:v>
                      </c:pt>
                      <c:pt idx="4">
                        <c:v>4500</c:v>
                      </c:pt>
                      <c:pt idx="5">
                        <c:v>3000</c:v>
                      </c:pt>
                      <c:pt idx="6">
                        <c:v>2000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4A1-464D-A49D-AE23D9CB7AA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'EVM Sprint 4 – 76B12'!$D$22</c15:sqref>
                        </c15:formulaRef>
                      </c:ext>
                    </c:extLst>
                    <c:strCache>
                      <c:ptCount val="1"/>
                      <c:pt idx="0">
                        <c:v>8.35%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'EVM Sprint 4 – 76B12'!$E$16:$O$16</c15:sqref>
                        </c15:formulaRef>
                      </c:ext>
                    </c:extLst>
                    <c:strCache>
                      <c:ptCount val="11"/>
                      <c:pt idx="0">
                        <c:v>Semana 2</c:v>
                      </c:pt>
                      <c:pt idx="1">
                        <c:v>Semana 3</c:v>
                      </c:pt>
                      <c:pt idx="2">
                        <c:v>Semana 4</c:v>
                      </c:pt>
                      <c:pt idx="3">
                        <c:v>Semana 5</c:v>
                      </c:pt>
                      <c:pt idx="4">
                        <c:v>Semana 6</c:v>
                      </c:pt>
                      <c:pt idx="5">
                        <c:v>Semana 7</c:v>
                      </c:pt>
                      <c:pt idx="6">
                        <c:v>Semana 8</c:v>
                      </c:pt>
                      <c:pt idx="7">
                        <c:v>Semana 9</c:v>
                      </c:pt>
                      <c:pt idx="8">
                        <c:v>Semana 10</c:v>
                      </c:pt>
                      <c:pt idx="9">
                        <c:v>Semana 11</c:v>
                      </c:pt>
                      <c:pt idx="10">
                        <c:v>Semana 12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'EVM Sprint 4 – 76B12'!$E$22:$O$22</c15:sqref>
                        </c15:formulaRef>
                      </c:ext>
                    </c:extLst>
                    <c:numCache>
                      <c:formatCode>#,##0</c:formatCode>
                      <c:ptCount val="11"/>
                      <c:pt idx="0" formatCode="0.00%">
                        <c:v>8.3500000000000005E-2</c:v>
                      </c:pt>
                      <c:pt idx="1">
                        <c:v>9.7100000000000006E-2</c:v>
                      </c:pt>
                      <c:pt idx="2">
                        <c:v>7.4300000000000005E-2</c:v>
                      </c:pt>
                      <c:pt idx="3">
                        <c:v>0.1229</c:v>
                      </c:pt>
                      <c:pt idx="4">
                        <c:v>0.1343</c:v>
                      </c:pt>
                      <c:pt idx="5">
                        <c:v>0.12859999999999999</c:v>
                      </c:pt>
                      <c:pt idx="6">
                        <c:v>0.1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4A1-464D-A49D-AE23D9CB7AA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'EVM Sprint 4 – 76B12'!$D$23</c15:sqref>
                        </c15:formulaRef>
                      </c:ext>
                    </c:extLst>
                    <c:strCache>
                      <c:ptCount val="1"/>
                      <c:pt idx="0">
                        <c:v> $2,923 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'EVM Sprint 4 – 76B12'!$E$16:$O$16</c15:sqref>
                        </c15:formulaRef>
                      </c:ext>
                    </c:extLst>
                    <c:strCache>
                      <c:ptCount val="11"/>
                      <c:pt idx="0">
                        <c:v>Semana 2</c:v>
                      </c:pt>
                      <c:pt idx="1">
                        <c:v>Semana 3</c:v>
                      </c:pt>
                      <c:pt idx="2">
                        <c:v>Semana 4</c:v>
                      </c:pt>
                      <c:pt idx="3">
                        <c:v>Semana 5</c:v>
                      </c:pt>
                      <c:pt idx="4">
                        <c:v>Semana 6</c:v>
                      </c:pt>
                      <c:pt idx="5">
                        <c:v>Semana 7</c:v>
                      </c:pt>
                      <c:pt idx="6">
                        <c:v>Semana 8</c:v>
                      </c:pt>
                      <c:pt idx="7">
                        <c:v>Semana 9</c:v>
                      </c:pt>
                      <c:pt idx="8">
                        <c:v>Semana 10</c:v>
                      </c:pt>
                      <c:pt idx="9">
                        <c:v>Semana 11</c:v>
                      </c:pt>
                      <c:pt idx="10">
                        <c:v>Semana 12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'EVM Sprint 4 – 76B12'!$E$23:$O$23</c15:sqref>
                        </c15:formulaRef>
                      </c:ext>
                    </c:extLst>
                    <c:numCache>
                      <c:formatCode>_-"$"* #,##0_-;\-"$"* #,##0_-;_-"$"* "-"??_-;_-@_-</c:formatCode>
                      <c:ptCount val="11"/>
                      <c:pt idx="0">
                        <c:v>2922.5</c:v>
                      </c:pt>
                      <c:pt idx="1">
                        <c:v>3398.5</c:v>
                      </c:pt>
                      <c:pt idx="2">
                        <c:v>2600.5</c:v>
                      </c:pt>
                      <c:pt idx="3">
                        <c:v>4301.5</c:v>
                      </c:pt>
                      <c:pt idx="4">
                        <c:v>4700.5</c:v>
                      </c:pt>
                      <c:pt idx="5">
                        <c:v>4500</c:v>
                      </c:pt>
                      <c:pt idx="6">
                        <c:v>3500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4A1-464D-A49D-AE23D9CB7AAA}"/>
                  </c:ext>
                </c:extLst>
              </c15:ser>
            </c15:filteredLineSeries>
          </c:ext>
        </c:extLst>
      </c:lineChart>
      <c:catAx>
        <c:axId val="121238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2404320"/>
        <c:crosses val="autoZero"/>
        <c:auto val="1"/>
        <c:lblAlgn val="ctr"/>
        <c:lblOffset val="100"/>
        <c:noMultiLvlLbl val="0"/>
      </c:catAx>
      <c:valAx>
        <c:axId val="121240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238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6318307030326414E-2"/>
          <c:y val="3.9607659394691193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Ejemplo!$C$19</c:f>
              <c:strCache>
                <c:ptCount val="1"/>
                <c:pt idx="0">
                  <c:v>PV</c:v>
                </c:pt>
              </c:strCache>
            </c:strRef>
          </c:tx>
          <c:spPr>
            <a:ln w="25400">
              <a:solidFill>
                <a:schemeClr val="tx2"/>
              </a:solidFill>
              <a:prstDash val="solid"/>
            </a:ln>
          </c:spPr>
          <c:marker>
            <c:symbol val="none"/>
          </c:marker>
          <c:cat>
            <c:strRef>
              <c:f>Ejemplo!$D$17:$O$17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Ejemplo!$D$19:$O$19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60000</c:v>
                </c:pt>
                <c:pt idx="2">
                  <c:v>120000</c:v>
                </c:pt>
                <c:pt idx="3">
                  <c:v>200000</c:v>
                </c:pt>
                <c:pt idx="4">
                  <c:v>320000</c:v>
                </c:pt>
                <c:pt idx="5">
                  <c:v>460000</c:v>
                </c:pt>
                <c:pt idx="6">
                  <c:v>620000</c:v>
                </c:pt>
                <c:pt idx="7">
                  <c:v>800000</c:v>
                </c:pt>
                <c:pt idx="8">
                  <c:v>980000</c:v>
                </c:pt>
                <c:pt idx="9">
                  <c:v>1100000</c:v>
                </c:pt>
                <c:pt idx="10">
                  <c:v>1180000</c:v>
                </c:pt>
                <c:pt idx="11">
                  <c:v>1220000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4-4F66-BFF3-6E1F46BD53C8}"/>
            </c:ext>
          </c:extLst>
        </c:ser>
        <c:ser>
          <c:idx val="1"/>
          <c:order val="1"/>
          <c:tx>
            <c:strRef>
              <c:f>Ejemplo!$C$21</c:f>
              <c:strCache>
                <c:ptCount val="1"/>
                <c:pt idx="0">
                  <c:v>AC</c:v>
                </c:pt>
              </c:strCache>
            </c:strRef>
          </c:tx>
          <c:spPr>
            <a:ln w="25400"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strRef>
              <c:f>Ejemplo!$D$17:$O$17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Ejemplo!$D$21:$O$21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40000</c:v>
                </c:pt>
                <c:pt idx="2">
                  <c:v>80000</c:v>
                </c:pt>
                <c:pt idx="3">
                  <c:v>140000</c:v>
                </c:pt>
                <c:pt idx="4">
                  <c:v>220000</c:v>
                </c:pt>
                <c:pt idx="5">
                  <c:v>320000</c:v>
                </c:pt>
                <c:pt idx="6">
                  <c:v>470000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14-4F66-BFF3-6E1F46BD53C8}"/>
            </c:ext>
          </c:extLst>
        </c:ser>
        <c:ser>
          <c:idx val="2"/>
          <c:order val="2"/>
          <c:tx>
            <c:strRef>
              <c:f>Ejemplo!$C$24</c:f>
              <c:strCache>
                <c:ptCount val="1"/>
                <c:pt idx="0">
                  <c:v>EV</c:v>
                </c:pt>
              </c:strCache>
            </c:strRef>
          </c:tx>
          <c:spPr>
            <a:ln w="25400">
              <a:solidFill>
                <a:srgbClr val="7030A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c:spPr>
          </c:marker>
          <c:cat>
            <c:strRef>
              <c:f>Ejemplo!$D$17:$O$17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Ejemplo!$D$24:$O$24</c:f>
              <c:numCache>
                <c:formatCode>_-"$"* #,##0_-;\-"$"* #,##0_-;_-"$"* "-"??_-;_-@_-</c:formatCode>
                <c:ptCount val="12"/>
                <c:pt idx="0">
                  <c:v>18300</c:v>
                </c:pt>
                <c:pt idx="1">
                  <c:v>54900</c:v>
                </c:pt>
                <c:pt idx="2">
                  <c:v>103700</c:v>
                </c:pt>
                <c:pt idx="3">
                  <c:v>176900</c:v>
                </c:pt>
                <c:pt idx="4">
                  <c:v>280600</c:v>
                </c:pt>
                <c:pt idx="5">
                  <c:v>402600</c:v>
                </c:pt>
                <c:pt idx="6">
                  <c:v>549000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14-4F66-BFF3-6E1F46BD5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781504"/>
        <c:axId val="165783424"/>
      </c:lineChart>
      <c:catAx>
        <c:axId val="165781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5783424"/>
        <c:crosses val="autoZero"/>
        <c:auto val="1"/>
        <c:lblAlgn val="ctr"/>
        <c:lblOffset val="100"/>
        <c:tickLblSkip val="1"/>
        <c:noMultiLvlLbl val="0"/>
      </c:catAx>
      <c:valAx>
        <c:axId val="165783424"/>
        <c:scaling>
          <c:orientation val="minMax"/>
        </c:scaling>
        <c:delete val="0"/>
        <c:axPos val="l"/>
        <c:majorGridlines/>
        <c:numFmt formatCode="_-&quot;$&quot;* #,##0_-;\-&quot;$&quot;* #,##0_-;_-&quot;$&quot;* &quot;-&quot;??_-;_-@_-" sourceLinked="1"/>
        <c:majorTickMark val="none"/>
        <c:minorTickMark val="none"/>
        <c:tickLblPos val="nextTo"/>
        <c:crossAx val="16578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  <c:spPr>
        <a:ln>
          <a:prstDash val="solid"/>
        </a:ln>
      </c:sp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729838</xdr:colOff>
      <xdr:row>1</xdr:row>
      <xdr:rowOff>73330</xdr:rowOff>
    </xdr:from>
    <xdr:to>
      <xdr:col>1</xdr:col>
      <xdr:colOff>3036125</xdr:colOff>
      <xdr:row>5</xdr:row>
      <xdr:rowOff>133326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9838" y="469174"/>
          <a:ext cx="2305050" cy="91353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4</xdr:col>
      <xdr:colOff>264886</xdr:colOff>
      <xdr:row>26</xdr:row>
      <xdr:rowOff>7257</xdr:rowOff>
    </xdr:from>
    <xdr:to>
      <xdr:col>10</xdr:col>
      <xdr:colOff>344714</xdr:colOff>
      <xdr:row>35</xdr:row>
      <xdr:rowOff>58057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D5EA0E7-596C-B538-5EF1-192E0FE51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117671</xdr:colOff>
      <xdr:row>24</xdr:row>
      <xdr:rowOff>142412</xdr:rowOff>
    </xdr:from>
    <xdr:to>
      <xdr:col>15</xdr:col>
      <xdr:colOff>10514</xdr:colOff>
      <xdr:row>43</xdr:row>
      <xdr:rowOff>159420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10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29838" y="473380"/>
          <a:ext cx="2306287" cy="91724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23" displayName="Table13423" ref="D16:O24" totalsRowShown="0" headerRowDxfId="60" dataDxfId="58" headerRowBorderDxfId="59" tableBorderDxfId="57" totalsRowBorderDxfId="56">
  <tableColumns count="12">
    <tableColumn id="1" xr3:uid="{00000000-0010-0000-0000-000001000000}" name="Semana 1" dataDxfId="55"/>
    <tableColumn id="2" xr3:uid="{00000000-0010-0000-0000-000002000000}" name="Semana 2" dataDxfId="54"/>
    <tableColumn id="3" xr3:uid="{00000000-0010-0000-0000-000003000000}" name="Semana 3" dataDxfId="53"/>
    <tableColumn id="4" xr3:uid="{00000000-0010-0000-0000-000004000000}" name="Semana 4" dataDxfId="52"/>
    <tableColumn id="5" xr3:uid="{00000000-0010-0000-0000-000005000000}" name="Semana 5" dataDxfId="51"/>
    <tableColumn id="6" xr3:uid="{00000000-0010-0000-0000-000006000000}" name="Semana 6" dataDxfId="50"/>
    <tableColumn id="7" xr3:uid="{00000000-0010-0000-0000-000007000000}" name="Semana 7" dataDxfId="49"/>
    <tableColumn id="8" xr3:uid="{00000000-0010-0000-0000-000008000000}" name="Semana 8" dataDxfId="48"/>
    <tableColumn id="9" xr3:uid="{00000000-0010-0000-0000-000009000000}" name="Semana 9" dataDxfId="47"/>
    <tableColumn id="10" xr3:uid="{00000000-0010-0000-0000-00000A000000}" name="Semana 10" dataDxfId="46"/>
    <tableColumn id="11" xr3:uid="{00000000-0010-0000-0000-00000B000000}" name="Semana 11" dataDxfId="45"/>
    <tableColumn id="12" xr3:uid="{00000000-0010-0000-0000-00000C000000}" name="Semana 12" dataDxfId="4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4235" displayName="Table134235" ref="D17:O24" totalsRowShown="0" headerRowDxfId="43" dataDxfId="41" headerRowBorderDxfId="42" tableBorderDxfId="40" totalsRowBorderDxfId="39">
  <tableColumns count="12">
    <tableColumn id="1" xr3:uid="{00000000-0010-0000-0100-000001000000}" name="Mes 1" dataDxfId="38"/>
    <tableColumn id="2" xr3:uid="{00000000-0010-0000-0100-000002000000}" name="Mes 2" dataDxfId="37"/>
    <tableColumn id="3" xr3:uid="{00000000-0010-0000-0100-000003000000}" name="Mes 3" dataDxfId="36"/>
    <tableColumn id="4" xr3:uid="{00000000-0010-0000-0100-000004000000}" name="Mes 4" dataDxfId="35"/>
    <tableColumn id="5" xr3:uid="{00000000-0010-0000-0100-000005000000}" name="Mes 5" dataDxfId="34"/>
    <tableColumn id="6" xr3:uid="{00000000-0010-0000-0100-000006000000}" name="Mes 6" dataDxfId="33"/>
    <tableColumn id="7" xr3:uid="{00000000-0010-0000-0100-000007000000}" name="Mes 7" dataDxfId="32"/>
    <tableColumn id="8" xr3:uid="{00000000-0010-0000-0100-000008000000}" name="Mes 8" dataDxfId="31"/>
    <tableColumn id="9" xr3:uid="{00000000-0010-0000-0100-000009000000}" name="Mes 9" dataDxfId="30"/>
    <tableColumn id="10" xr3:uid="{00000000-0010-0000-0100-00000A000000}" name="Mes 10" dataDxfId="29"/>
    <tableColumn id="11" xr3:uid="{00000000-0010-0000-0100-00000B000000}" name="Mes 11" dataDxfId="28"/>
    <tableColumn id="12" xr3:uid="{00000000-0010-0000-0100-00000C000000}" name="Mes 12" dataDxfId="2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6"/>
  <sheetViews>
    <sheetView showGridLines="0" tabSelected="1" zoomScale="93" zoomScaleNormal="100" workbookViewId="0">
      <selection activeCell="L13" sqref="L13"/>
    </sheetView>
  </sheetViews>
  <sheetFormatPr baseColWidth="10" defaultColWidth="9.109375" defaultRowHeight="14.4" x14ac:dyDescent="0.3"/>
  <cols>
    <col min="2" max="2" width="60.88671875" customWidth="1"/>
    <col min="3" max="3" width="22.6640625" customWidth="1"/>
    <col min="4" max="4" width="10.5546875" customWidth="1"/>
    <col min="5" max="9" width="11" bestFit="1" customWidth="1"/>
    <col min="10" max="10" width="14.33203125" bestFit="1" customWidth="1"/>
    <col min="11" max="12" width="11" bestFit="1" customWidth="1"/>
    <col min="13" max="13" width="11.6640625" customWidth="1"/>
    <col min="14" max="14" width="11" bestFit="1" customWidth="1"/>
    <col min="15" max="15" width="11.33203125" customWidth="1"/>
    <col min="17" max="17" width="10.33203125" bestFit="1" customWidth="1"/>
  </cols>
  <sheetData>
    <row r="1" spans="2:18" ht="15" x14ac:dyDescent="0.35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8" ht="15" x14ac:dyDescent="0.35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8" ht="20.55" customHeight="1" x14ac:dyDescent="0.45">
      <c r="B3" s="10"/>
      <c r="C3" s="10"/>
      <c r="D3" s="12" t="s">
        <v>0</v>
      </c>
      <c r="F3" s="10"/>
      <c r="G3" s="10"/>
      <c r="H3" s="10"/>
      <c r="I3" s="10"/>
      <c r="J3" s="10"/>
      <c r="K3" s="10"/>
    </row>
    <row r="4" spans="2:18" ht="15" x14ac:dyDescent="0.35">
      <c r="B4" s="11"/>
      <c r="C4" s="11"/>
      <c r="D4" s="10"/>
      <c r="E4" s="10"/>
      <c r="F4" s="10"/>
      <c r="G4" s="10"/>
      <c r="H4" s="10"/>
      <c r="I4" s="10"/>
      <c r="J4" s="10"/>
      <c r="K4" s="10"/>
    </row>
    <row r="5" spans="2:18" ht="15" customHeight="1" x14ac:dyDescent="0.35">
      <c r="B5" s="10"/>
      <c r="C5" s="10"/>
      <c r="D5" s="10"/>
      <c r="E5" s="10"/>
      <c r="F5" s="10"/>
      <c r="G5" s="10"/>
      <c r="H5" s="10"/>
      <c r="I5" s="10"/>
      <c r="J5" s="10"/>
      <c r="K5" s="8"/>
      <c r="L5" s="15"/>
      <c r="M5" s="15"/>
      <c r="N5" s="80"/>
      <c r="O5" s="79"/>
      <c r="P5" s="8"/>
    </row>
    <row r="6" spans="2:18" ht="16.5" customHeight="1" x14ac:dyDescent="0.35">
      <c r="B6" s="10"/>
      <c r="C6" s="10"/>
      <c r="D6" s="10"/>
      <c r="E6" s="10"/>
      <c r="F6" s="10"/>
      <c r="G6" s="10"/>
      <c r="H6" s="10"/>
      <c r="I6" s="10"/>
      <c r="J6" s="10"/>
      <c r="K6" s="9"/>
      <c r="L6" s="16"/>
      <c r="M6" s="16"/>
      <c r="N6" s="78"/>
      <c r="O6" s="79"/>
      <c r="P6" s="9"/>
    </row>
    <row r="7" spans="2:18" ht="16.5" customHeight="1" x14ac:dyDescent="0.4">
      <c r="B7" s="76" t="s">
        <v>1</v>
      </c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9"/>
    </row>
    <row r="8" spans="2:18" ht="16.5" customHeight="1" thickBot="1" x14ac:dyDescent="0.35">
      <c r="Q8" s="9"/>
    </row>
    <row r="9" spans="2:18" ht="16.5" customHeight="1" x14ac:dyDescent="0.3">
      <c r="B9" s="48" t="s">
        <v>2</v>
      </c>
      <c r="C9" s="49" t="s">
        <v>3</v>
      </c>
      <c r="D9" s="50"/>
      <c r="E9" s="50"/>
      <c r="F9" s="50"/>
      <c r="G9" s="50"/>
      <c r="H9" s="50"/>
      <c r="I9" s="92"/>
      <c r="J9" s="89"/>
      <c r="K9" s="89"/>
      <c r="L9" s="89"/>
      <c r="M9" s="89"/>
      <c r="N9" s="89"/>
      <c r="O9" s="89"/>
      <c r="Q9" s="9"/>
    </row>
    <row r="10" spans="2:18" ht="16.5" customHeight="1" x14ac:dyDescent="0.3">
      <c r="B10" s="37" t="s">
        <v>4</v>
      </c>
      <c r="C10" s="18" t="s">
        <v>5</v>
      </c>
      <c r="D10" s="19"/>
      <c r="E10" s="19"/>
      <c r="F10" s="19"/>
      <c r="G10" s="19"/>
      <c r="H10" s="19"/>
      <c r="I10" s="93"/>
      <c r="J10" s="89"/>
      <c r="K10" s="89"/>
      <c r="L10" s="89"/>
      <c r="M10" s="89"/>
      <c r="N10" s="89"/>
      <c r="O10" s="89"/>
      <c r="Q10" s="9"/>
    </row>
    <row r="11" spans="2:18" ht="16.5" customHeight="1" thickBot="1" x14ac:dyDescent="0.35">
      <c r="B11" s="38" t="s">
        <v>6</v>
      </c>
      <c r="C11" s="53">
        <v>46127</v>
      </c>
      <c r="D11" s="54"/>
      <c r="E11" s="55" t="s">
        <v>7</v>
      </c>
      <c r="F11" s="56"/>
      <c r="G11" s="86">
        <v>46136</v>
      </c>
      <c r="H11" s="87"/>
      <c r="I11" s="88"/>
      <c r="J11" s="91"/>
      <c r="K11" s="91"/>
      <c r="L11" s="90"/>
      <c r="M11" s="90"/>
      <c r="N11" s="90"/>
      <c r="O11" s="89"/>
      <c r="P11" s="9"/>
    </row>
    <row r="12" spans="2:18" ht="16.5" customHeight="1" x14ac:dyDescent="0.3"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9"/>
    </row>
    <row r="13" spans="2:18" ht="16.5" customHeight="1" x14ac:dyDescent="0.35">
      <c r="B13" s="10"/>
      <c r="C13" s="10"/>
      <c r="D13" s="10"/>
      <c r="E13" s="10"/>
      <c r="F13" s="10"/>
      <c r="G13" s="10"/>
      <c r="H13" s="10"/>
      <c r="I13" s="10"/>
      <c r="J13" s="10"/>
      <c r="K13" s="9"/>
      <c r="L13" s="16"/>
      <c r="M13" s="17"/>
      <c r="N13" s="78"/>
      <c r="O13" s="79"/>
      <c r="P13" s="9"/>
      <c r="Q13" s="3"/>
    </row>
    <row r="14" spans="2:18" ht="16.5" customHeight="1" thickBot="1" x14ac:dyDescent="0.4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6"/>
      <c r="M14" s="17"/>
      <c r="N14" s="78"/>
      <c r="O14" s="79"/>
      <c r="P14" s="9"/>
      <c r="Q14" s="3"/>
    </row>
    <row r="15" spans="2:18" ht="16.5" customHeight="1" x14ac:dyDescent="0.3">
      <c r="B15" s="32"/>
      <c r="C15" s="33"/>
      <c r="D15" s="73">
        <v>2026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5"/>
      <c r="P15" s="2"/>
      <c r="R15" s="3"/>
    </row>
    <row r="16" spans="2:18" x14ac:dyDescent="0.3">
      <c r="B16" s="34"/>
      <c r="C16" s="22"/>
      <c r="D16" s="23" t="s">
        <v>9</v>
      </c>
      <c r="E16" s="23" t="s">
        <v>10</v>
      </c>
      <c r="F16" s="23" t="s">
        <v>11</v>
      </c>
      <c r="G16" s="23" t="s">
        <v>12</v>
      </c>
      <c r="H16" s="23" t="s">
        <v>13</v>
      </c>
      <c r="I16" s="23" t="s">
        <v>14</v>
      </c>
      <c r="J16" s="23" t="s">
        <v>15</v>
      </c>
      <c r="K16" s="23" t="s">
        <v>16</v>
      </c>
      <c r="L16" s="23" t="s">
        <v>17</v>
      </c>
      <c r="M16" s="23" t="s">
        <v>18</v>
      </c>
      <c r="N16" s="23" t="s">
        <v>19</v>
      </c>
      <c r="O16" s="23" t="s">
        <v>20</v>
      </c>
    </row>
    <row r="17" spans="2:15" ht="15.75" hidden="1" customHeight="1" thickBot="1" x14ac:dyDescent="0.35">
      <c r="B17" s="36"/>
      <c r="D17" s="4">
        <v>1</v>
      </c>
      <c r="E17" s="5">
        <v>2</v>
      </c>
      <c r="F17" s="5">
        <v>3</v>
      </c>
      <c r="G17" s="5">
        <v>4</v>
      </c>
      <c r="H17" s="5">
        <v>5</v>
      </c>
      <c r="I17" s="5">
        <v>6</v>
      </c>
      <c r="J17" s="5">
        <v>7</v>
      </c>
      <c r="K17" s="5">
        <v>8</v>
      </c>
      <c r="L17" s="5">
        <v>9</v>
      </c>
      <c r="M17" s="5">
        <v>10</v>
      </c>
      <c r="N17" s="5">
        <v>11</v>
      </c>
      <c r="O17" s="6">
        <v>12</v>
      </c>
    </row>
    <row r="18" spans="2:15" ht="15" customHeight="1" x14ac:dyDescent="0.3">
      <c r="B18" s="37" t="s">
        <v>21</v>
      </c>
      <c r="C18" s="23"/>
      <c r="D18" s="62">
        <v>2000</v>
      </c>
      <c r="E18" s="62">
        <v>2000</v>
      </c>
      <c r="F18" s="62">
        <v>3400</v>
      </c>
      <c r="G18" s="62">
        <v>2600</v>
      </c>
      <c r="H18" s="62">
        <v>4300</v>
      </c>
      <c r="I18" s="62">
        <v>4700</v>
      </c>
      <c r="J18" s="62">
        <v>4500</v>
      </c>
      <c r="K18" s="62">
        <v>3500</v>
      </c>
      <c r="L18" s="62">
        <v>3000</v>
      </c>
      <c r="M18" s="62">
        <v>2000</v>
      </c>
      <c r="N18" s="63">
        <v>2100</v>
      </c>
      <c r="O18" s="64">
        <v>900</v>
      </c>
    </row>
    <row r="19" spans="2:15" ht="15" customHeight="1" x14ac:dyDescent="0.3">
      <c r="B19" s="37" t="s">
        <v>22</v>
      </c>
      <c r="C19" s="23" t="s">
        <v>23</v>
      </c>
      <c r="D19" s="40">
        <v>2000</v>
      </c>
      <c r="E19" s="40">
        <v>4000</v>
      </c>
      <c r="F19" s="40">
        <v>7400</v>
      </c>
      <c r="G19" s="40">
        <v>10000</v>
      </c>
      <c r="H19" s="40">
        <v>14300</v>
      </c>
      <c r="I19" s="40">
        <v>19000</v>
      </c>
      <c r="J19" s="40">
        <v>23500</v>
      </c>
      <c r="K19" s="40">
        <v>27000</v>
      </c>
      <c r="L19" s="40">
        <v>30000</v>
      </c>
      <c r="M19" s="40">
        <v>32000</v>
      </c>
      <c r="N19" s="40">
        <v>34100</v>
      </c>
      <c r="O19" s="40">
        <v>35000</v>
      </c>
    </row>
    <row r="20" spans="2:15" ht="15" customHeight="1" x14ac:dyDescent="0.3">
      <c r="B20" s="37" t="s">
        <v>24</v>
      </c>
      <c r="C20" s="23"/>
      <c r="D20" s="24">
        <v>1800</v>
      </c>
      <c r="E20" s="24">
        <v>1900</v>
      </c>
      <c r="F20" s="24">
        <v>3200</v>
      </c>
      <c r="G20" s="24">
        <v>2400</v>
      </c>
      <c r="H20" s="24">
        <v>4100</v>
      </c>
      <c r="I20" s="24">
        <v>4500</v>
      </c>
      <c r="J20" s="24">
        <v>3000</v>
      </c>
      <c r="K20" s="24">
        <v>2000</v>
      </c>
      <c r="L20" s="24"/>
      <c r="M20" s="24"/>
      <c r="N20" s="24"/>
      <c r="O20" s="25"/>
    </row>
    <row r="21" spans="2:15" x14ac:dyDescent="0.3">
      <c r="B21" s="37" t="s">
        <v>25</v>
      </c>
      <c r="C21" s="23" t="s">
        <v>26</v>
      </c>
      <c r="D21" s="40">
        <v>1800</v>
      </c>
      <c r="E21" s="40">
        <v>3700</v>
      </c>
      <c r="F21" s="40">
        <v>6900</v>
      </c>
      <c r="G21" s="40">
        <v>9300</v>
      </c>
      <c r="H21" s="40">
        <v>13400</v>
      </c>
      <c r="I21" s="40">
        <v>17900</v>
      </c>
      <c r="J21" s="40">
        <v>22200</v>
      </c>
      <c r="K21" s="40">
        <v>25600</v>
      </c>
      <c r="L21" s="40"/>
      <c r="M21" s="40"/>
      <c r="N21" s="40"/>
      <c r="O21" s="40"/>
    </row>
    <row r="22" spans="2:15" x14ac:dyDescent="0.3">
      <c r="B22" s="37" t="s">
        <v>27</v>
      </c>
      <c r="C22" s="23" t="s">
        <v>28</v>
      </c>
      <c r="D22" s="65">
        <v>8.3500000000000005E-2</v>
      </c>
      <c r="E22" s="66">
        <v>8.3500000000000005E-2</v>
      </c>
      <c r="F22" s="57">
        <v>9.7100000000000006E-2</v>
      </c>
      <c r="G22" s="57">
        <v>7.4300000000000005E-2</v>
      </c>
      <c r="H22" s="57">
        <v>0.1229</v>
      </c>
      <c r="I22" s="57">
        <v>0.1343</v>
      </c>
      <c r="J22" s="57">
        <v>0.12859999999999999</v>
      </c>
      <c r="K22" s="57">
        <v>0.1</v>
      </c>
      <c r="L22" s="57"/>
      <c r="M22" s="57"/>
      <c r="N22" s="57"/>
      <c r="O22" s="58"/>
    </row>
    <row r="23" spans="2:15" x14ac:dyDescent="0.3">
      <c r="B23" s="37" t="s">
        <v>29</v>
      </c>
      <c r="C23" s="23"/>
      <c r="D23" s="40">
        <v>2922.5</v>
      </c>
      <c r="E23" s="40">
        <v>2922.5</v>
      </c>
      <c r="F23" s="40">
        <v>3398.5</v>
      </c>
      <c r="G23" s="40">
        <v>2600.5</v>
      </c>
      <c r="H23" s="40">
        <v>4301.5</v>
      </c>
      <c r="I23" s="40">
        <v>4700.5</v>
      </c>
      <c r="J23" s="40">
        <v>4500</v>
      </c>
      <c r="K23" s="40">
        <v>3500</v>
      </c>
      <c r="L23" s="40">
        <v>0</v>
      </c>
      <c r="M23" s="40">
        <v>0</v>
      </c>
      <c r="N23" s="40">
        <v>0</v>
      </c>
      <c r="O23" s="40">
        <v>0</v>
      </c>
    </row>
    <row r="24" spans="2:15" ht="15" customHeight="1" thickBot="1" x14ac:dyDescent="0.35">
      <c r="B24" s="38" t="s">
        <v>30</v>
      </c>
      <c r="C24" s="39" t="s">
        <v>31</v>
      </c>
      <c r="D24" s="40">
        <v>2922.5</v>
      </c>
      <c r="E24" s="40">
        <v>5845</v>
      </c>
      <c r="F24" s="40">
        <v>9243.5</v>
      </c>
      <c r="G24" s="40">
        <v>11844</v>
      </c>
      <c r="H24" s="40">
        <v>16145.5</v>
      </c>
      <c r="I24" s="40">
        <v>20846</v>
      </c>
      <c r="J24" s="40">
        <v>25346</v>
      </c>
      <c r="K24" s="40">
        <v>28846</v>
      </c>
      <c r="L24" s="40">
        <v>28846</v>
      </c>
      <c r="M24" s="40">
        <v>28846</v>
      </c>
      <c r="N24" s="40">
        <v>28846</v>
      </c>
      <c r="O24" s="40">
        <v>28846</v>
      </c>
    </row>
    <row r="25" spans="2:15" ht="15.9" customHeight="1" thickBot="1" x14ac:dyDescent="0.35">
      <c r="D25" s="1" t="s">
        <v>32</v>
      </c>
    </row>
    <row r="26" spans="2:15" ht="15.9" customHeight="1" thickBot="1" x14ac:dyDescent="0.35">
      <c r="B26" s="31" t="s">
        <v>33</v>
      </c>
      <c r="C26" s="68">
        <v>35000</v>
      </c>
      <c r="D26" s="1"/>
    </row>
    <row r="27" spans="2:15" ht="15.9" customHeight="1" thickBot="1" x14ac:dyDescent="0.35">
      <c r="C27" s="67"/>
      <c r="D27" s="1"/>
    </row>
    <row r="28" spans="2:15" x14ac:dyDescent="0.3">
      <c r="B28" s="27" t="s">
        <v>34</v>
      </c>
      <c r="C28" s="28" t="s">
        <v>35</v>
      </c>
    </row>
    <row r="29" spans="2:15" ht="18.75" customHeight="1" x14ac:dyDescent="0.3">
      <c r="B29" s="26" t="s">
        <v>36</v>
      </c>
      <c r="C29" s="69">
        <v>3247</v>
      </c>
      <c r="D29" s="7"/>
      <c r="E29" s="7"/>
    </row>
    <row r="30" spans="2:15" ht="30.75" customHeight="1" x14ac:dyDescent="0.3">
      <c r="B30" s="26" t="s">
        <v>37</v>
      </c>
      <c r="C30" s="70">
        <v>1847</v>
      </c>
    </row>
    <row r="31" spans="2:15" ht="33" customHeight="1" x14ac:dyDescent="0.3">
      <c r="B31" s="26" t="s">
        <v>38</v>
      </c>
      <c r="C31" s="71">
        <v>1.1268359375000001</v>
      </c>
    </row>
    <row r="32" spans="2:15" ht="36" customHeight="1" x14ac:dyDescent="0.3">
      <c r="B32" s="26" t="s">
        <v>39</v>
      </c>
      <c r="C32" s="71">
        <v>1.0684074074000001</v>
      </c>
    </row>
    <row r="33" spans="2:3" ht="35.25" customHeight="1" thickBot="1" x14ac:dyDescent="0.35">
      <c r="B33" s="29" t="s">
        <v>40</v>
      </c>
      <c r="C33" s="72">
        <v>31060.422227614701</v>
      </c>
    </row>
    <row r="36" spans="2:3" x14ac:dyDescent="0.3">
      <c r="B36" s="60" t="s">
        <v>41</v>
      </c>
    </row>
    <row r="37" spans="2:3" x14ac:dyDescent="0.3">
      <c r="B37" s="60" t="s">
        <v>42</v>
      </c>
    </row>
    <row r="38" spans="2:3" x14ac:dyDescent="0.3">
      <c r="B38" s="60"/>
    </row>
    <row r="39" spans="2:3" x14ac:dyDescent="0.3">
      <c r="B39" s="60" t="s">
        <v>43</v>
      </c>
    </row>
    <row r="40" spans="2:3" x14ac:dyDescent="0.3">
      <c r="B40" s="60" t="s">
        <v>44</v>
      </c>
    </row>
    <row r="41" spans="2:3" x14ac:dyDescent="0.3">
      <c r="B41" s="60"/>
    </row>
    <row r="42" spans="2:3" x14ac:dyDescent="0.3">
      <c r="B42" s="60" t="s">
        <v>45</v>
      </c>
    </row>
    <row r="43" spans="2:3" x14ac:dyDescent="0.3">
      <c r="B43" s="60" t="s">
        <v>46</v>
      </c>
    </row>
    <row r="44" spans="2:3" x14ac:dyDescent="0.3">
      <c r="B44" s="60"/>
    </row>
    <row r="45" spans="2:3" x14ac:dyDescent="0.3">
      <c r="B45" s="60" t="s">
        <v>47</v>
      </c>
    </row>
    <row r="46" spans="2:3" x14ac:dyDescent="0.3">
      <c r="B46" s="60" t="s">
        <v>48</v>
      </c>
    </row>
  </sheetData>
  <mergeCells count="7">
    <mergeCell ref="D15:O15"/>
    <mergeCell ref="B7:O7"/>
    <mergeCell ref="N14:O14"/>
    <mergeCell ref="N6:O6"/>
    <mergeCell ref="N5:O5"/>
    <mergeCell ref="N13:O13"/>
    <mergeCell ref="G11:I11"/>
  </mergeCells>
  <conditionalFormatting sqref="C29:C30 E23">
    <cfRule type="expression" dxfId="26" priority="1">
      <formula>IF(ROUND(($N$13-$N$6)/30,0)=1,1,0)</formula>
    </cfRule>
  </conditionalFormatting>
  <conditionalFormatting sqref="D17:D24">
    <cfRule type="expression" dxfId="25" priority="5">
      <formula>IF(ROUND(($N$13-$N$6)/30,0)=1,1,0)</formula>
    </cfRule>
  </conditionalFormatting>
  <conditionalFormatting sqref="E17:E22 F19:O19">
    <cfRule type="expression" dxfId="24" priority="26">
      <formula>IF(ROUND(($N$13-$N$6)/30,0)=2,1,0)</formula>
    </cfRule>
  </conditionalFormatting>
  <conditionalFormatting sqref="E24">
    <cfRule type="expression" dxfId="23" priority="10">
      <formula>IF(ROUND(($N$13-$N$6)/30,0)=2,1,0)</formula>
    </cfRule>
  </conditionalFormatting>
  <conditionalFormatting sqref="F17:F18 F20:F22 N8:N10 M11 N12:N14">
    <cfRule type="expression" dxfId="22" priority="24">
      <formula>IF(ROUND(($N$13-$N$6)/30,0)=3,1,0)</formula>
    </cfRule>
  </conditionalFormatting>
  <conditionalFormatting sqref="F24">
    <cfRule type="expression" dxfId="21" priority="9">
      <formula>IF(ROUND(($N$13-$N$6)/30,0)=3,1,0)</formula>
    </cfRule>
  </conditionalFormatting>
  <conditionalFormatting sqref="F23:J23">
    <cfRule type="expression" dxfId="20" priority="13">
      <formula>IF(ROUND(($N$13-$N$6)/30,0)=1,1,0)</formula>
    </cfRule>
  </conditionalFormatting>
  <conditionalFormatting sqref="G17:G18 G20:G22">
    <cfRule type="expression" dxfId="19" priority="23">
      <formula>IF(ROUND(($N$13-$N$6)/30,0)=4,1,0)</formula>
    </cfRule>
  </conditionalFormatting>
  <conditionalFormatting sqref="G24">
    <cfRule type="expression" dxfId="18" priority="8">
      <formula>IF(ROUND(($N$13-$N$6)/30,0)=4,1,0)</formula>
    </cfRule>
  </conditionalFormatting>
  <conditionalFormatting sqref="H17:H18 H20:H22">
    <cfRule type="expression" dxfId="17" priority="22">
      <formula>IF(ROUND(($N$13-$N$6)/30,0)=5,1,0)</formula>
    </cfRule>
  </conditionalFormatting>
  <conditionalFormatting sqref="H24">
    <cfRule type="expression" dxfId="16" priority="7">
      <formula>IF(ROUND(($N$13-$N$6)/30,0)=5,1,0)</formula>
    </cfRule>
  </conditionalFormatting>
  <conditionalFormatting sqref="I17:I18 I20:I22">
    <cfRule type="expression" dxfId="15" priority="21">
      <formula>IF(ROUND(($N$13-$N$6)/30,0)=6,1,0)</formula>
    </cfRule>
  </conditionalFormatting>
  <conditionalFormatting sqref="I24">
    <cfRule type="expression" dxfId="14" priority="6">
      <formula>IF(ROUND(($N$13-$N$6)/30,0)=6,1,0)</formula>
    </cfRule>
  </conditionalFormatting>
  <conditionalFormatting sqref="J17:J18 J20:J22">
    <cfRule type="expression" dxfId="13" priority="20">
      <formula>IF(ROUND(($N$13-$N$6)/30,0)=7,1,0)</formula>
    </cfRule>
  </conditionalFormatting>
  <conditionalFormatting sqref="K17:K18 K20">
    <cfRule type="expression" dxfId="12" priority="31">
      <formula>IF(ROUND(($N$13-$N$6)/30,0)=8,1,0)</formula>
    </cfRule>
  </conditionalFormatting>
  <conditionalFormatting sqref="K22">
    <cfRule type="expression" dxfId="11" priority="47">
      <formula>IF(ROUND(($N$13-$N$6)/30,0)=8,1,0)</formula>
    </cfRule>
  </conditionalFormatting>
  <conditionalFormatting sqref="K21:O21">
    <cfRule type="expression" dxfId="10" priority="3">
      <formula>IF(ROUND(($N$13-$N$6)/30,0)=7,1,0)</formula>
    </cfRule>
  </conditionalFormatting>
  <conditionalFormatting sqref="K23:O23">
    <cfRule type="expression" dxfId="9" priority="12">
      <formula>IF(ROUND(($N$13-$N$6)/30,0)=1,1,0)</formula>
    </cfRule>
  </conditionalFormatting>
  <conditionalFormatting sqref="K24:O24">
    <cfRule type="expression" dxfId="8" priority="4">
      <formula>IF(ROUND(($N$13-$N$6)/30,0)=7,1,0)</formula>
    </cfRule>
  </conditionalFormatting>
  <conditionalFormatting sqref="L17:L18 L20">
    <cfRule type="expression" dxfId="7" priority="30">
      <formula>IF(ROUND(($N$13-$N$6)/30,0)=9,1,0)</formula>
    </cfRule>
  </conditionalFormatting>
  <conditionalFormatting sqref="L22">
    <cfRule type="expression" dxfId="6" priority="48">
      <formula>IF(ROUND(($N$13-$N$6)/30,0)=9,1,0)</formula>
    </cfRule>
  </conditionalFormatting>
  <conditionalFormatting sqref="M17:M18 M20">
    <cfRule type="expression" dxfId="5" priority="29">
      <formula>IF(ROUND(($N$13-$N$6)/30,0)=10,1,0)</formula>
    </cfRule>
  </conditionalFormatting>
  <conditionalFormatting sqref="M22">
    <cfRule type="expression" dxfId="4" priority="49">
      <formula>IF(ROUND(($N$13-$N$6)/30,0)=10,1,0)</formula>
    </cfRule>
  </conditionalFormatting>
  <conditionalFormatting sqref="N5:N6">
    <cfRule type="expression" dxfId="3" priority="42">
      <formula>IF(ROUND(($N$13-$N$6)/30,0)=3,1,0)</formula>
    </cfRule>
  </conditionalFormatting>
  <conditionalFormatting sqref="N17:N18 N20">
    <cfRule type="expression" dxfId="2" priority="28">
      <formula>IF(ROUND(($N$13-$N$6)/30,0)=11,1,0)</formula>
    </cfRule>
  </conditionalFormatting>
  <conditionalFormatting sqref="N22">
    <cfRule type="expression" dxfId="1" priority="50">
      <formula>IF(ROUND(($N$13-$N$6)/30,0)=11,1,0)</formula>
    </cfRule>
  </conditionalFormatting>
  <conditionalFormatting sqref="O17:O18 O20 O22">
    <cfRule type="expression" dxfId="0" priority="51">
      <formula>IF(ROUND(($N$13-$N$6)/30,0)=12,1,0)</formula>
    </cfRule>
  </conditionalFormatting>
  <pageMargins left="0.7" right="0.7" top="0.75" bottom="0.75" header="0.3" footer="0.3"/>
  <pageSetup scale="49" orientation="portrait" horizontalDpi="1200" verticalDpi="12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46"/>
  <sheetViews>
    <sheetView showGridLines="0" zoomScaleNormal="100" workbookViewId="0">
      <selection activeCell="C11" sqref="C11"/>
    </sheetView>
  </sheetViews>
  <sheetFormatPr baseColWidth="10" defaultColWidth="9.109375" defaultRowHeight="14.4" x14ac:dyDescent="0.3"/>
  <cols>
    <col min="2" max="2" width="60.6640625" customWidth="1"/>
    <col min="3" max="3" width="22.6640625" customWidth="1"/>
    <col min="4" max="4" width="13" customWidth="1"/>
    <col min="5" max="5" width="11.88671875" customWidth="1"/>
    <col min="6" max="6" width="12.5546875" customWidth="1"/>
    <col min="7" max="7" width="13.109375" customWidth="1"/>
    <col min="8" max="8" width="12.33203125" customWidth="1"/>
    <col min="9" max="9" width="14.109375" customWidth="1"/>
    <col min="10" max="10" width="12" customWidth="1"/>
    <col min="11" max="11" width="14" customWidth="1"/>
    <col min="12" max="13" width="13" customWidth="1"/>
    <col min="14" max="14" width="12.5546875" customWidth="1"/>
    <col min="15" max="15" width="14.109375" customWidth="1"/>
    <col min="17" max="17" width="10.33203125" bestFit="1" customWidth="1"/>
  </cols>
  <sheetData>
    <row r="1" spans="2:16" ht="15" x14ac:dyDescent="0.35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6" ht="15" x14ac:dyDescent="0.35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6" ht="15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6" ht="20.55" customHeight="1" x14ac:dyDescent="0.45">
      <c r="B4" s="10"/>
      <c r="C4" s="10"/>
      <c r="D4" s="12" t="s">
        <v>0</v>
      </c>
      <c r="F4" s="10"/>
      <c r="G4" s="10"/>
      <c r="H4" s="10"/>
      <c r="I4" s="10"/>
      <c r="J4" s="10"/>
      <c r="K4" s="10"/>
    </row>
    <row r="5" spans="2:16" ht="15" x14ac:dyDescent="0.35">
      <c r="B5" s="11"/>
      <c r="C5" s="11"/>
      <c r="D5" s="10"/>
      <c r="E5" s="10"/>
      <c r="F5" s="10"/>
      <c r="G5" s="10"/>
      <c r="H5" s="10"/>
      <c r="I5" s="10"/>
      <c r="J5" s="10"/>
      <c r="K5" s="10"/>
    </row>
    <row r="6" spans="2:16" ht="15" x14ac:dyDescent="0.35">
      <c r="B6" s="10"/>
      <c r="C6" s="10"/>
      <c r="D6" s="10"/>
      <c r="E6" s="10"/>
      <c r="F6" s="10"/>
      <c r="G6" s="10"/>
      <c r="H6" s="10"/>
      <c r="I6" s="10"/>
      <c r="J6" s="10"/>
      <c r="K6" s="8"/>
      <c r="L6" s="15"/>
      <c r="M6" s="15"/>
      <c r="N6" s="80"/>
      <c r="O6" s="79"/>
      <c r="P6" s="8"/>
    </row>
    <row r="7" spans="2:16" ht="15" x14ac:dyDescent="0.35">
      <c r="B7" s="10"/>
      <c r="C7" s="10"/>
      <c r="D7" s="10"/>
      <c r="E7" s="10"/>
      <c r="F7" s="10"/>
      <c r="G7" s="10"/>
      <c r="H7" s="10"/>
      <c r="I7" s="10"/>
      <c r="J7" s="10"/>
      <c r="K7" s="9"/>
      <c r="L7" s="16"/>
      <c r="M7" s="16"/>
      <c r="N7" s="78"/>
      <c r="O7" s="79"/>
      <c r="P7" s="9"/>
    </row>
    <row r="8" spans="2:16" ht="20.55" customHeight="1" x14ac:dyDescent="0.4">
      <c r="B8" s="76" t="s">
        <v>1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9"/>
    </row>
    <row r="9" spans="2:16" ht="15" customHeight="1" thickBot="1" x14ac:dyDescent="0.35"/>
    <row r="10" spans="2:16" x14ac:dyDescent="0.3">
      <c r="B10" s="48" t="s">
        <v>2</v>
      </c>
      <c r="C10" s="49" t="s">
        <v>49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</row>
    <row r="11" spans="2:16" x14ac:dyDescent="0.3">
      <c r="B11" s="37" t="s">
        <v>4</v>
      </c>
      <c r="C11" s="18" t="s">
        <v>50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52"/>
    </row>
    <row r="12" spans="2:16" ht="15" customHeight="1" thickBot="1" x14ac:dyDescent="0.35">
      <c r="B12" s="38" t="s">
        <v>6</v>
      </c>
      <c r="C12" s="84">
        <v>40695</v>
      </c>
      <c r="D12" s="85"/>
      <c r="E12" s="55" t="s">
        <v>7</v>
      </c>
      <c r="F12" s="56"/>
      <c r="G12" s="84">
        <v>41455</v>
      </c>
      <c r="H12" s="82"/>
      <c r="I12" s="85"/>
      <c r="J12" s="55" t="s">
        <v>8</v>
      </c>
      <c r="K12" s="56"/>
      <c r="L12" s="81">
        <v>40908</v>
      </c>
      <c r="M12" s="82"/>
      <c r="N12" s="82"/>
      <c r="O12" s="83"/>
      <c r="P12" s="9"/>
    </row>
    <row r="13" spans="2:16" x14ac:dyDescent="0.3"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9"/>
    </row>
    <row r="14" spans="2:16" ht="15" x14ac:dyDescent="0.35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6"/>
      <c r="M14" s="17"/>
      <c r="N14" s="78"/>
      <c r="O14" s="79"/>
      <c r="P14" s="9"/>
    </row>
    <row r="15" spans="2:16" ht="15" customHeight="1" thickBot="1" x14ac:dyDescent="0.4"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16"/>
      <c r="M15" s="17"/>
      <c r="N15" s="78"/>
      <c r="O15" s="79"/>
      <c r="P15" s="9"/>
    </row>
    <row r="16" spans="2:16" x14ac:dyDescent="0.3">
      <c r="B16" s="32"/>
      <c r="C16" s="33"/>
      <c r="D16" s="73" t="s">
        <v>51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5"/>
      <c r="P16" s="2"/>
    </row>
    <row r="17" spans="2:15" x14ac:dyDescent="0.3">
      <c r="B17" s="34"/>
      <c r="C17" s="22"/>
      <c r="D17" s="23" t="s">
        <v>52</v>
      </c>
      <c r="E17" s="23" t="s">
        <v>53</v>
      </c>
      <c r="F17" s="23" t="s">
        <v>54</v>
      </c>
      <c r="G17" s="23" t="s">
        <v>55</v>
      </c>
      <c r="H17" s="23" t="s">
        <v>56</v>
      </c>
      <c r="I17" s="23" t="s">
        <v>57</v>
      </c>
      <c r="J17" s="23" t="s">
        <v>58</v>
      </c>
      <c r="K17" s="23" t="s">
        <v>59</v>
      </c>
      <c r="L17" s="23" t="s">
        <v>60</v>
      </c>
      <c r="M17" s="23" t="s">
        <v>61</v>
      </c>
      <c r="N17" s="23" t="s">
        <v>62</v>
      </c>
      <c r="O17" s="35" t="s">
        <v>63</v>
      </c>
    </row>
    <row r="18" spans="2:15" x14ac:dyDescent="0.3">
      <c r="B18" s="37" t="s">
        <v>21</v>
      </c>
      <c r="C18" s="23"/>
      <c r="D18" s="40">
        <v>20000</v>
      </c>
      <c r="E18" s="40">
        <v>40000</v>
      </c>
      <c r="F18" s="40">
        <v>60000</v>
      </c>
      <c r="G18" s="40">
        <v>80000</v>
      </c>
      <c r="H18" s="40">
        <v>120000</v>
      </c>
      <c r="I18" s="40">
        <v>140000</v>
      </c>
      <c r="J18" s="40">
        <v>160000</v>
      </c>
      <c r="K18" s="40">
        <v>180000</v>
      </c>
      <c r="L18" s="40">
        <v>180000</v>
      </c>
      <c r="M18" s="40">
        <v>120000</v>
      </c>
      <c r="N18" s="40">
        <v>80000</v>
      </c>
      <c r="O18" s="41">
        <v>40000</v>
      </c>
    </row>
    <row r="19" spans="2:15" x14ac:dyDescent="0.3">
      <c r="B19" s="37" t="s">
        <v>22</v>
      </c>
      <c r="C19" s="23" t="s">
        <v>23</v>
      </c>
      <c r="D19" s="40">
        <f>D18</f>
        <v>20000</v>
      </c>
      <c r="E19" s="40">
        <f>D18+E18</f>
        <v>60000</v>
      </c>
      <c r="F19" s="40">
        <f t="shared" ref="F19:O19" si="0">E19+F18</f>
        <v>120000</v>
      </c>
      <c r="G19" s="40">
        <f t="shared" si="0"/>
        <v>200000</v>
      </c>
      <c r="H19" s="40">
        <f t="shared" si="0"/>
        <v>320000</v>
      </c>
      <c r="I19" s="40">
        <f t="shared" si="0"/>
        <v>460000</v>
      </c>
      <c r="J19" s="40">
        <f t="shared" si="0"/>
        <v>620000</v>
      </c>
      <c r="K19" s="40">
        <f t="shared" si="0"/>
        <v>800000</v>
      </c>
      <c r="L19" s="40">
        <f t="shared" si="0"/>
        <v>980000</v>
      </c>
      <c r="M19" s="40">
        <f t="shared" si="0"/>
        <v>1100000</v>
      </c>
      <c r="N19" s="40">
        <f t="shared" si="0"/>
        <v>1180000</v>
      </c>
      <c r="O19" s="41">
        <f t="shared" si="0"/>
        <v>1220000</v>
      </c>
    </row>
    <row r="20" spans="2:15" x14ac:dyDescent="0.3">
      <c r="B20" s="37" t="s">
        <v>24</v>
      </c>
      <c r="C20" s="23"/>
      <c r="D20" s="40">
        <v>20000</v>
      </c>
      <c r="E20" s="40">
        <v>20000</v>
      </c>
      <c r="F20" s="40">
        <v>40000</v>
      </c>
      <c r="G20" s="40">
        <v>60000</v>
      </c>
      <c r="H20" s="40">
        <v>80000</v>
      </c>
      <c r="I20" s="40">
        <v>100000</v>
      </c>
      <c r="J20" s="40">
        <v>150000</v>
      </c>
      <c r="K20" s="40"/>
      <c r="L20" s="40"/>
      <c r="M20" s="40"/>
      <c r="N20" s="40"/>
      <c r="O20" s="41"/>
    </row>
    <row r="21" spans="2:15" x14ac:dyDescent="0.3">
      <c r="B21" s="37" t="s">
        <v>25</v>
      </c>
      <c r="C21" s="23" t="s">
        <v>26</v>
      </c>
      <c r="D21" s="40">
        <f>D20</f>
        <v>20000</v>
      </c>
      <c r="E21" s="40">
        <f>D20+E20</f>
        <v>40000</v>
      </c>
      <c r="F21" s="40">
        <f>E21+F20</f>
        <v>80000</v>
      </c>
      <c r="G21" s="40">
        <f>F21+G20</f>
        <v>140000</v>
      </c>
      <c r="H21" s="40">
        <f>G21+H20</f>
        <v>220000</v>
      </c>
      <c r="I21" s="40">
        <f>H21+I20</f>
        <v>320000</v>
      </c>
      <c r="J21" s="40">
        <f>I21+J20</f>
        <v>470000</v>
      </c>
      <c r="K21" s="40"/>
      <c r="L21" s="40"/>
      <c r="M21" s="40"/>
      <c r="N21" s="40"/>
      <c r="O21" s="41"/>
    </row>
    <row r="22" spans="2:15" x14ac:dyDescent="0.3">
      <c r="B22" s="37" t="s">
        <v>27</v>
      </c>
      <c r="C22" s="23" t="s">
        <v>28</v>
      </c>
      <c r="D22" s="44">
        <v>1.4999999999999999E-2</v>
      </c>
      <c r="E22" s="45">
        <v>0.03</v>
      </c>
      <c r="F22" s="45">
        <v>0.04</v>
      </c>
      <c r="G22" s="45">
        <v>0.06</v>
      </c>
      <c r="H22" s="45">
        <v>8.5000000000000006E-2</v>
      </c>
      <c r="I22" s="45">
        <v>0.1</v>
      </c>
      <c r="J22" s="45">
        <v>0.12</v>
      </c>
      <c r="K22" s="45"/>
      <c r="L22" s="45"/>
      <c r="M22" s="45"/>
      <c r="N22" s="45"/>
      <c r="O22" s="46"/>
    </row>
    <row r="23" spans="2:15" x14ac:dyDescent="0.3">
      <c r="B23" s="37" t="s">
        <v>29</v>
      </c>
      <c r="C23" s="23" t="s">
        <v>64</v>
      </c>
      <c r="D23" s="40">
        <f t="shared" ref="D23:J23" si="1">D22*$C$26</f>
        <v>18300</v>
      </c>
      <c r="E23" s="40">
        <f t="shared" si="1"/>
        <v>36600</v>
      </c>
      <c r="F23" s="40">
        <f t="shared" si="1"/>
        <v>48800</v>
      </c>
      <c r="G23" s="40">
        <f t="shared" si="1"/>
        <v>73200</v>
      </c>
      <c r="H23" s="40">
        <f t="shared" si="1"/>
        <v>103700.00000000001</v>
      </c>
      <c r="I23" s="40">
        <f t="shared" si="1"/>
        <v>122000</v>
      </c>
      <c r="J23" s="40">
        <f t="shared" si="1"/>
        <v>146400</v>
      </c>
      <c r="K23" s="40"/>
      <c r="L23" s="40"/>
      <c r="M23" s="40"/>
      <c r="N23" s="40"/>
      <c r="O23" s="41"/>
    </row>
    <row r="24" spans="2:15" ht="15" customHeight="1" thickBot="1" x14ac:dyDescent="0.35">
      <c r="B24" s="38" t="s">
        <v>30</v>
      </c>
      <c r="C24" s="39" t="s">
        <v>31</v>
      </c>
      <c r="D24" s="40">
        <f>D23</f>
        <v>18300</v>
      </c>
      <c r="E24" s="40">
        <f>D23+E23</f>
        <v>54900</v>
      </c>
      <c r="F24" s="40">
        <f>E24+F23</f>
        <v>103700</v>
      </c>
      <c r="G24" s="40">
        <f>F24+G23</f>
        <v>176900</v>
      </c>
      <c r="H24" s="40">
        <f>G24+H23</f>
        <v>280600</v>
      </c>
      <c r="I24" s="40">
        <f>H24+I23</f>
        <v>402600</v>
      </c>
      <c r="J24" s="40">
        <f>I24+J23</f>
        <v>549000</v>
      </c>
      <c r="K24" s="40"/>
      <c r="L24" s="40"/>
      <c r="M24" s="40"/>
      <c r="N24" s="40"/>
      <c r="O24" s="41"/>
    </row>
    <row r="25" spans="2:15" ht="15.9" customHeight="1" thickBot="1" x14ac:dyDescent="0.35">
      <c r="D25" s="1" t="s">
        <v>32</v>
      </c>
    </row>
    <row r="26" spans="2:15" ht="15.9" customHeight="1" thickBot="1" x14ac:dyDescent="0.35">
      <c r="B26" s="31" t="s">
        <v>65</v>
      </c>
      <c r="C26" s="42">
        <f>O19</f>
        <v>1220000</v>
      </c>
      <c r="D26" s="1"/>
    </row>
    <row r="27" spans="2:15" ht="15.9" customHeight="1" thickBot="1" x14ac:dyDescent="0.35">
      <c r="C27" s="13"/>
      <c r="D27" s="1"/>
    </row>
    <row r="28" spans="2:15" x14ac:dyDescent="0.3">
      <c r="B28" s="27" t="s">
        <v>34</v>
      </c>
      <c r="C28" s="28" t="s">
        <v>35</v>
      </c>
    </row>
    <row r="29" spans="2:15" x14ac:dyDescent="0.3">
      <c r="B29" s="26" t="s">
        <v>36</v>
      </c>
      <c r="C29" s="40">
        <f>J24-J21</f>
        <v>79000</v>
      </c>
      <c r="D29" s="7"/>
      <c r="E29" s="7"/>
    </row>
    <row r="30" spans="2:15" ht="24.9" customHeight="1" x14ac:dyDescent="0.3">
      <c r="B30" s="26" t="s">
        <v>66</v>
      </c>
      <c r="C30" s="47">
        <f>J24-J19</f>
        <v>-71000</v>
      </c>
    </row>
    <row r="31" spans="2:15" ht="24.9" customHeight="1" x14ac:dyDescent="0.3">
      <c r="B31" s="26" t="s">
        <v>67</v>
      </c>
      <c r="C31" s="14">
        <f>(J24/J21)</f>
        <v>1.1680851063829787</v>
      </c>
    </row>
    <row r="32" spans="2:15" ht="24.9" customHeight="1" x14ac:dyDescent="0.3">
      <c r="B32" s="26" t="s">
        <v>39</v>
      </c>
      <c r="C32" s="14">
        <f>J24/J19</f>
        <v>0.88548387096774195</v>
      </c>
    </row>
    <row r="33" spans="2:3" ht="25.35" customHeight="1" thickBot="1" x14ac:dyDescent="0.35">
      <c r="B33" s="29" t="s">
        <v>68</v>
      </c>
      <c r="C33" s="30">
        <f>C26/C31</f>
        <v>1044444.4444444445</v>
      </c>
    </row>
    <row r="35" spans="2:3" x14ac:dyDescent="0.3">
      <c r="B35" s="43"/>
    </row>
    <row r="36" spans="2:3" x14ac:dyDescent="0.3">
      <c r="B36" s="59" t="s">
        <v>41</v>
      </c>
    </row>
    <row r="37" spans="2:3" x14ac:dyDescent="0.3">
      <c r="B37" s="60" t="s">
        <v>42</v>
      </c>
    </row>
    <row r="38" spans="2:3" x14ac:dyDescent="0.3">
      <c r="B38" s="61"/>
    </row>
    <row r="39" spans="2:3" x14ac:dyDescent="0.3">
      <c r="B39" s="60" t="s">
        <v>43</v>
      </c>
    </row>
    <row r="40" spans="2:3" x14ac:dyDescent="0.3">
      <c r="B40" s="60" t="s">
        <v>44</v>
      </c>
    </row>
    <row r="41" spans="2:3" x14ac:dyDescent="0.3">
      <c r="B41" s="60"/>
    </row>
    <row r="42" spans="2:3" x14ac:dyDescent="0.3">
      <c r="B42" s="60" t="s">
        <v>45</v>
      </c>
    </row>
    <row r="43" spans="2:3" x14ac:dyDescent="0.3">
      <c r="B43" s="60" t="s">
        <v>46</v>
      </c>
    </row>
    <row r="44" spans="2:3" x14ac:dyDescent="0.3">
      <c r="B44" s="60"/>
    </row>
    <row r="45" spans="2:3" x14ac:dyDescent="0.3">
      <c r="B45" s="60" t="s">
        <v>47</v>
      </c>
    </row>
    <row r="46" spans="2:3" x14ac:dyDescent="0.3">
      <c r="B46" s="60" t="s">
        <v>48</v>
      </c>
    </row>
  </sheetData>
  <mergeCells count="9">
    <mergeCell ref="N6:O6"/>
    <mergeCell ref="L12:O12"/>
    <mergeCell ref="G12:I12"/>
    <mergeCell ref="N14:O14"/>
    <mergeCell ref="D16:O16"/>
    <mergeCell ref="C12:D12"/>
    <mergeCell ref="B8:O8"/>
    <mergeCell ref="N15:O15"/>
    <mergeCell ref="N7:O7"/>
  </mergeCells>
  <pageMargins left="0.7" right="0.7" top="0.75" bottom="0.75" header="0.3" footer="0.3"/>
  <pageSetup scale="48" orientation="portrait" horizontalDpi="1200" verticalDpi="12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EVM Sprint 4 – 76B12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Cupa</dc:creator>
  <cp:lastModifiedBy>Xiromy García</cp:lastModifiedBy>
  <cp:lastPrinted>2012-05-23T16:28:30Z</cp:lastPrinted>
  <dcterms:created xsi:type="dcterms:W3CDTF">2011-05-27T04:00:15Z</dcterms:created>
  <dcterms:modified xsi:type="dcterms:W3CDTF">2026-04-27T16:07:54Z</dcterms:modified>
</cp:coreProperties>
</file>