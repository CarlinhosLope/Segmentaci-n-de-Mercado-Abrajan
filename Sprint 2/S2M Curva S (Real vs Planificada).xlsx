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0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itculiacanedu-my.sharepoint.com/personal/l22171288_culiacan_tecnm_mx/Documents/"/>
    </mc:Choice>
  </mc:AlternateContent>
  <xr:revisionPtr revIDLastSave="0" documentId="8_{E859CDF7-7D72-9645-96EC-235EBAAE2980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Detalle de Costos" sheetId="11" r:id="rId1"/>
    <sheet name="Plantilla Curva S" sheetId="4" r:id="rId2"/>
    <sheet name="Ejemplo" sheetId="9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9" l="1"/>
  <c r="C52" i="11"/>
  <c r="D15" i="4"/>
  <c r="D16" i="4"/>
  <c r="D52" i="11"/>
  <c r="E15" i="4"/>
  <c r="E52" i="11"/>
  <c r="F15" i="4"/>
  <c r="F52" i="11"/>
  <c r="G15" i="4"/>
  <c r="G52" i="11"/>
  <c r="H15" i="4"/>
  <c r="H52" i="11"/>
  <c r="I15" i="4"/>
  <c r="I52" i="11"/>
  <c r="J15" i="4"/>
  <c r="J52" i="11"/>
  <c r="K15" i="4"/>
  <c r="K52" i="11"/>
  <c r="L15" i="4"/>
  <c r="L52" i="11"/>
  <c r="M15" i="4"/>
  <c r="M52" i="11"/>
  <c r="N15" i="4"/>
  <c r="N52" i="11"/>
  <c r="O15" i="4"/>
  <c r="F16" i="9"/>
  <c r="AJ52" i="11"/>
  <c r="AK52" i="11"/>
  <c r="AL52" i="11"/>
  <c r="AG52" i="11"/>
  <c r="AH52" i="11"/>
  <c r="AI52" i="11"/>
  <c r="AD52" i="11"/>
  <c r="AE52" i="11"/>
  <c r="AF52" i="11"/>
  <c r="AA52" i="11"/>
  <c r="AB52" i="11"/>
  <c r="AC52" i="11"/>
  <c r="X52" i="11"/>
  <c r="Y52" i="11"/>
  <c r="Z52" i="11"/>
  <c r="U52" i="11"/>
  <c r="V52" i="11"/>
  <c r="W52" i="11"/>
  <c r="R52" i="11"/>
  <c r="S52" i="11"/>
  <c r="T52" i="11"/>
  <c r="O52" i="11"/>
  <c r="P52" i="11"/>
  <c r="Q52" i="11"/>
  <c r="BE52" i="11"/>
  <c r="BF52" i="11"/>
  <c r="BG52" i="11"/>
  <c r="BH52" i="11"/>
  <c r="BI52" i="11"/>
  <c r="BJ52" i="11"/>
  <c r="AM52" i="11"/>
  <c r="AN52" i="11"/>
  <c r="AO52" i="11"/>
  <c r="AP52" i="11"/>
  <c r="AQ52" i="11"/>
  <c r="AR52" i="11"/>
  <c r="AS52" i="11"/>
  <c r="AT52" i="11"/>
  <c r="AU52" i="11"/>
  <c r="AV52" i="11"/>
  <c r="AW52" i="11"/>
  <c r="AX52" i="11"/>
  <c r="AY52" i="11"/>
  <c r="AZ52" i="11"/>
  <c r="BA52" i="11"/>
  <c r="BB52" i="11"/>
  <c r="BC52" i="11"/>
  <c r="BD52" i="11"/>
  <c r="D18" i="9"/>
  <c r="E18" i="9"/>
  <c r="F18" i="9"/>
  <c r="G18" i="9"/>
  <c r="D16" i="9"/>
  <c r="G16" i="9"/>
  <c r="H16" i="9"/>
  <c r="I16" i="9"/>
  <c r="J16" i="9"/>
  <c r="K16" i="9"/>
  <c r="L16" i="9"/>
  <c r="M16" i="9"/>
  <c r="N16" i="9"/>
  <c r="O16" i="9"/>
  <c r="E16" i="4"/>
  <c r="F16" i="4"/>
  <c r="G16" i="4"/>
  <c r="H16" i="4"/>
  <c r="I16" i="4"/>
  <c r="J16" i="4"/>
  <c r="K16" i="4"/>
  <c r="L16" i="4"/>
  <c r="M16" i="4"/>
  <c r="N16" i="4"/>
  <c r="O16" i="4"/>
  <c r="B53" i="11"/>
</calcChain>
</file>

<file path=xl/sharedStrings.xml><?xml version="1.0" encoding="utf-8"?>
<sst xmlns="http://schemas.openxmlformats.org/spreadsheetml/2006/main" count="118" uniqueCount="107">
  <si>
    <t>Mes 1</t>
  </si>
  <si>
    <t>Mes 2</t>
  </si>
  <si>
    <t>Mes 3</t>
  </si>
  <si>
    <t>Mes 4</t>
  </si>
  <si>
    <t>Mes 5</t>
  </si>
  <si>
    <t>Mes 6</t>
  </si>
  <si>
    <t>Mes 7</t>
  </si>
  <si>
    <t>Mes 8</t>
  </si>
  <si>
    <t>Mes 9</t>
  </si>
  <si>
    <t>Mes 10</t>
  </si>
  <si>
    <t>Mes 11</t>
  </si>
  <si>
    <t>Mes 12</t>
  </si>
  <si>
    <t>Valor Planificado</t>
  </si>
  <si>
    <t>Costo Real</t>
  </si>
  <si>
    <t>Proyecto:</t>
  </si>
  <si>
    <t>ID:</t>
  </si>
  <si>
    <t>Fecha de Corte:</t>
  </si>
  <si>
    <t>Año 2012</t>
  </si>
  <si>
    <t>Fecha de Inicio</t>
  </si>
  <si>
    <t>Fecha Fin:</t>
  </si>
  <si>
    <t>Valor Planificado Acumulado</t>
  </si>
  <si>
    <t>Costo Real Acumulado</t>
  </si>
  <si>
    <t>Curva S de Recursos</t>
  </si>
  <si>
    <t>Nombre del Proyecto</t>
  </si>
  <si>
    <t>Código identificador del proyecto.</t>
  </si>
  <si>
    <t>Fecha estimada de fin del proyecto.</t>
  </si>
  <si>
    <t>Fecha de comienzo del proyecto</t>
  </si>
  <si>
    <t>Fecha a la cual se reporta el costo real.</t>
  </si>
  <si>
    <t>HT2011-12</t>
  </si>
  <si>
    <t>Apoyo Educativo</t>
  </si>
  <si>
    <t>1.1.1.1</t>
  </si>
  <si>
    <t>Paquete de trabajo</t>
  </si>
  <si>
    <t>1.2.1.1</t>
  </si>
  <si>
    <t>2.1.1.1</t>
  </si>
  <si>
    <t>2.2.1.1</t>
  </si>
  <si>
    <t>Código</t>
  </si>
  <si>
    <t>Costos por paquete de trabajo</t>
  </si>
  <si>
    <t>Paquete de Trabajo</t>
  </si>
  <si>
    <t>1.1.1.2</t>
  </si>
  <si>
    <t>1.1.1.3</t>
  </si>
  <si>
    <t>1.1.2.1</t>
  </si>
  <si>
    <t>1.1.2.2</t>
  </si>
  <si>
    <t>1.1.2.3</t>
  </si>
  <si>
    <t>1.2.1.2</t>
  </si>
  <si>
    <t>1.2.2.2</t>
  </si>
  <si>
    <t>Componente 1</t>
  </si>
  <si>
    <t>Componente 2</t>
  </si>
  <si>
    <t>2.1.1.2</t>
  </si>
  <si>
    <t>2.1.1.3</t>
  </si>
  <si>
    <t>2.1.2.1</t>
  </si>
  <si>
    <t>2.1.2.2</t>
  </si>
  <si>
    <t>2.1.2.3</t>
  </si>
  <si>
    <t>2.2.1.2</t>
  </si>
  <si>
    <t>Componente 3</t>
  </si>
  <si>
    <t>TOTAL</t>
  </si>
  <si>
    <t>Trimestre</t>
  </si>
  <si>
    <t>Semanas</t>
  </si>
  <si>
    <t>Base de datos validada y lista para modelado</t>
  </si>
  <si>
    <t>Dataset depurado</t>
  </si>
  <si>
    <t>Depuración y validación y datos</t>
  </si>
  <si>
    <t>Indentificación de valores faltantes</t>
  </si>
  <si>
    <t>Informe de Análisis de exploratorio</t>
  </si>
  <si>
    <t>Reporte técnico  de EDA aprobado</t>
  </si>
  <si>
    <t xml:space="preserve">Estadisticas descripción </t>
  </si>
  <si>
    <t>Modelo de segmentación  validado</t>
  </si>
  <si>
    <t>Modlo K-Means documentado</t>
  </si>
  <si>
    <t>Construcción y evaluado del modelo</t>
  </si>
  <si>
    <t>Determinado de K-óptimo</t>
  </si>
  <si>
    <t xml:space="preserve">Modelo comparativo jerárquico </t>
  </si>
  <si>
    <t>Análisis Comparativo</t>
  </si>
  <si>
    <t>Construcción de denograma</t>
  </si>
  <si>
    <t>Documentos de perfiles definidos estratégicos</t>
  </si>
  <si>
    <t>Perfiles definidos y deimensionados</t>
  </si>
  <si>
    <t>Análisis y caracterización de segmentos</t>
  </si>
  <si>
    <t xml:space="preserve">Análisis demograficos </t>
  </si>
  <si>
    <t>Componente 4</t>
  </si>
  <si>
    <t>plan estratégico validado</t>
  </si>
  <si>
    <t>Documentado estratégico valiada</t>
  </si>
  <si>
    <t>Diseño de estrategia validado</t>
  </si>
  <si>
    <t>Definición de propuestas de valor</t>
  </si>
  <si>
    <t>Componente 5</t>
  </si>
  <si>
    <t>Proyecto formalmante gestionado y cerrado</t>
  </si>
  <si>
    <t>Documentacion de gestion completa</t>
  </si>
  <si>
    <t>Planificación y control</t>
  </si>
  <si>
    <t xml:space="preserve">Elaboracion de cronograma </t>
  </si>
  <si>
    <t>Componente 6</t>
  </si>
  <si>
    <t>3.1.1.1</t>
  </si>
  <si>
    <t>3.1.1.2</t>
  </si>
  <si>
    <t>3.1.1.3</t>
  </si>
  <si>
    <t>3.1.2.1</t>
  </si>
  <si>
    <t>3.1.2.2</t>
  </si>
  <si>
    <t>4.2.1.2</t>
  </si>
  <si>
    <t>4.2.1.3</t>
  </si>
  <si>
    <t>4.2.2.1</t>
  </si>
  <si>
    <t>5.1.1.1</t>
  </si>
  <si>
    <t>4.1.1.1</t>
  </si>
  <si>
    <t>5.1.1.3</t>
  </si>
  <si>
    <t>5.1.1.2</t>
  </si>
  <si>
    <t>5.1.2.4</t>
  </si>
  <si>
    <t>Elaboración del  analisis exploratorio</t>
  </si>
  <si>
    <t>Documento integrador y cierre proyecto</t>
  </si>
  <si>
    <t>Reporte final cosolidado</t>
  </si>
  <si>
    <t>Informe ejecutivo de resultados</t>
  </si>
  <si>
    <t>Síntesis medológica, hallazgos y recomendaciones estratégicas</t>
  </si>
  <si>
    <t>Presentación ejecutiva</t>
  </si>
  <si>
    <t xml:space="preserve">Deck de comunicación a Steakholders </t>
  </si>
  <si>
    <t>Visualización de segmentos y propuestas de valor de grupo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</si>
</sst>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* #,##0.00_-;\-&quot;$&quot;* #,##0.00_-;_-&quot;$&quot;* &quot;-&quot;??_-;_-@_-"/>
    <numFmt numFmtId="164" formatCode="_(* #,##0.00_);_(* \(#,##0.00\);_(* &quot;-&quot;??_);_(@_)"/>
    <numFmt numFmtId="165" formatCode="_-&quot;$&quot;* #,##0_-;\-&quot;$&quot;* #,##0_-;_-&quot;$&quot;* &quot;-&quot;??_-;_-@_-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1"/>
      <color theme="1"/>
      <name val="Corbel"/>
      <family val="2"/>
    </font>
    <font>
      <b/>
      <sz val="16"/>
      <color theme="1"/>
      <name val="Corbel"/>
      <family val="2"/>
    </font>
    <font>
      <b/>
      <sz val="12"/>
      <color theme="0"/>
      <name val="Corbel"/>
      <family val="2"/>
    </font>
    <font>
      <sz val="11"/>
      <color theme="0"/>
      <name val="Corbel"/>
      <family val="2"/>
    </font>
    <font>
      <b/>
      <sz val="11"/>
      <color theme="0"/>
      <name val="Corbel"/>
      <family val="2"/>
    </font>
    <font>
      <b/>
      <sz val="10"/>
      <color theme="0"/>
      <name val="Corbel"/>
      <family val="2"/>
    </font>
    <font>
      <sz val="10"/>
      <color theme="1"/>
      <name val="Corbel"/>
      <family val="2"/>
    </font>
    <font>
      <sz val="8"/>
      <name val="Calibri"/>
      <family val="2"/>
      <scheme val="minor"/>
    </font>
    <font>
      <b/>
      <sz val="11"/>
      <color theme="1"/>
      <name val="Corbel"/>
      <family val="2"/>
    </font>
    <font>
      <b/>
      <u/>
      <sz val="10"/>
      <color theme="0"/>
      <name val="Corbel"/>
      <family val="2"/>
    </font>
    <font>
      <b/>
      <sz val="10"/>
      <color theme="1"/>
      <name val="Corbel"/>
      <family val="2"/>
    </font>
    <font>
      <sz val="11"/>
      <color theme="1"/>
      <name val="Corbel"/>
    </font>
    <font>
      <sz val="10"/>
      <color theme="1"/>
      <name val="Corbel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376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507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indexed="64"/>
      </left>
      <right style="double">
        <color auto="1"/>
      </right>
      <top style="thin">
        <color indexed="64"/>
      </top>
      <bottom style="thin">
        <color indexed="64"/>
      </bottom>
      <diagonal/>
    </border>
    <border>
      <left/>
      <right style="double">
        <color auto="1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93">
    <xf numFmtId="0" fontId="0" fillId="0" borderId="0" xfId="0"/>
    <xf numFmtId="44" fontId="0" fillId="0" borderId="1" xfId="1" applyFont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applyAlignment="1">
      <alignment wrapText="1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0" xfId="0" applyAlignment="1">
      <alignment horizontal="left"/>
    </xf>
    <xf numFmtId="0" fontId="2" fillId="0" borderId="0" xfId="0" applyFont="1" applyAlignment="1">
      <alignment horizontal="right"/>
    </xf>
    <xf numFmtId="0" fontId="0" fillId="0" borderId="0" xfId="0" applyAlignment="1">
      <alignment vertical="center"/>
    </xf>
    <xf numFmtId="9" fontId="0" fillId="0" borderId="0" xfId="2" applyFont="1" applyBorder="1" applyAlignment="1">
      <alignment vertical="center"/>
    </xf>
    <xf numFmtId="0" fontId="0" fillId="0" borderId="9" xfId="0" applyBorder="1" applyAlignment="1">
      <alignment horizontal="left"/>
    </xf>
    <xf numFmtId="44" fontId="0" fillId="0" borderId="13" xfId="1" applyFont="1" applyBorder="1"/>
    <xf numFmtId="44" fontId="0" fillId="0" borderId="1" xfId="1" applyFont="1" applyBorder="1" applyAlignment="1"/>
    <xf numFmtId="0" fontId="0" fillId="0" borderId="2" xfId="0" applyBorder="1"/>
    <xf numFmtId="0" fontId="0" fillId="0" borderId="3" xfId="0" applyBorder="1"/>
    <xf numFmtId="0" fontId="0" fillId="0" borderId="14" xfId="0" applyBorder="1"/>
    <xf numFmtId="0" fontId="2" fillId="3" borderId="1" xfId="0" applyFont="1" applyFill="1" applyBorder="1" applyAlignment="1">
      <alignment horizontal="right"/>
    </xf>
    <xf numFmtId="0" fontId="0" fillId="3" borderId="1" xfId="0" applyFill="1" applyBorder="1"/>
    <xf numFmtId="0" fontId="2" fillId="3" borderId="1" xfId="0" applyFont="1" applyFill="1" applyBorder="1"/>
    <xf numFmtId="0" fontId="2" fillId="3" borderId="1" xfId="0" applyFont="1" applyFill="1" applyBorder="1" applyAlignment="1">
      <alignment horizontal="center"/>
    </xf>
    <xf numFmtId="0" fontId="2" fillId="3" borderId="13" xfId="0" applyFont="1" applyFill="1" applyBorder="1" applyAlignment="1">
      <alignment horizontal="center"/>
    </xf>
    <xf numFmtId="165" fontId="0" fillId="0" borderId="1" xfId="1" applyNumberFormat="1" applyFont="1" applyBorder="1"/>
    <xf numFmtId="165" fontId="0" fillId="0" borderId="13" xfId="1" applyNumberFormat="1" applyFont="1" applyBorder="1"/>
    <xf numFmtId="0" fontId="0" fillId="4" borderId="0" xfId="0" applyFill="1"/>
    <xf numFmtId="0" fontId="4" fillId="4" borderId="0" xfId="0" applyFont="1" applyFill="1" applyProtection="1">
      <protection locked="0"/>
    </xf>
    <xf numFmtId="0" fontId="5" fillId="4" borderId="0" xfId="0" applyFont="1" applyFill="1" applyProtection="1">
      <protection locked="0"/>
    </xf>
    <xf numFmtId="14" fontId="7" fillId="5" borderId="0" xfId="0" applyNumberFormat="1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top"/>
      <protection locked="0"/>
    </xf>
    <xf numFmtId="0" fontId="10" fillId="0" borderId="16" xfId="0" applyFont="1" applyBorder="1" applyAlignment="1" applyProtection="1">
      <alignment horizontal="left" vertical="center"/>
      <protection locked="0"/>
    </xf>
    <xf numFmtId="0" fontId="10" fillId="0" borderId="16" xfId="0" applyFont="1" applyBorder="1" applyAlignment="1" applyProtection="1">
      <alignment vertical="top"/>
      <protection locked="0"/>
    </xf>
    <xf numFmtId="0" fontId="8" fillId="5" borderId="15" xfId="0" applyFont="1" applyFill="1" applyBorder="1" applyAlignment="1" applyProtection="1">
      <alignment horizontal="center" vertical="top"/>
      <protection locked="0"/>
    </xf>
    <xf numFmtId="0" fontId="9" fillId="5" borderId="16" xfId="3" applyNumberFormat="1" applyFont="1" applyFill="1" applyBorder="1" applyAlignment="1" applyProtection="1">
      <alignment horizontal="center" vertical="top"/>
      <protection locked="0"/>
    </xf>
    <xf numFmtId="0" fontId="12" fillId="6" borderId="0" xfId="0" applyFont="1" applyFill="1" applyAlignment="1" applyProtection="1">
      <alignment horizontal="center"/>
      <protection locked="0"/>
    </xf>
    <xf numFmtId="0" fontId="10" fillId="0" borderId="17" xfId="0" applyFont="1" applyBorder="1" applyAlignment="1" applyProtection="1">
      <alignment vertical="top"/>
      <protection locked="0"/>
    </xf>
    <xf numFmtId="0" fontId="10" fillId="7" borderId="16" xfId="0" applyFont="1" applyFill="1" applyBorder="1" applyAlignment="1" applyProtection="1">
      <alignment horizontal="left" vertical="center"/>
      <protection locked="0"/>
    </xf>
    <xf numFmtId="0" fontId="4" fillId="7" borderId="0" xfId="0" applyFont="1" applyFill="1" applyProtection="1">
      <protection locked="0"/>
    </xf>
    <xf numFmtId="0" fontId="9" fillId="7" borderId="16" xfId="0" applyFont="1" applyFill="1" applyBorder="1" applyAlignment="1" applyProtection="1">
      <alignment horizontal="center" vertical="top"/>
      <protection locked="0"/>
    </xf>
    <xf numFmtId="0" fontId="10" fillId="0" borderId="0" xfId="0" applyFont="1" applyAlignment="1" applyProtection="1">
      <alignment horizontal="left" vertical="center"/>
      <protection locked="0"/>
    </xf>
    <xf numFmtId="0" fontId="10" fillId="0" borderId="0" xfId="0" applyFont="1" applyAlignment="1" applyProtection="1">
      <alignment vertical="top"/>
      <protection locked="0"/>
    </xf>
    <xf numFmtId="0" fontId="14" fillId="7" borderId="0" xfId="0" applyFont="1" applyFill="1" applyAlignment="1" applyProtection="1">
      <alignment horizontal="left" vertical="center"/>
      <protection locked="0"/>
    </xf>
    <xf numFmtId="0" fontId="12" fillId="7" borderId="0" xfId="0" applyFont="1" applyFill="1" applyProtection="1">
      <protection locked="0"/>
    </xf>
    <xf numFmtId="0" fontId="9" fillId="7" borderId="0" xfId="0" applyFont="1" applyFill="1" applyAlignment="1" applyProtection="1">
      <alignment horizontal="center" vertical="top"/>
      <protection locked="0"/>
    </xf>
    <xf numFmtId="0" fontId="15" fillId="4" borderId="0" xfId="0" applyFont="1" applyFill="1" applyProtection="1">
      <protection locked="0"/>
    </xf>
    <xf numFmtId="0" fontId="16" fillId="0" borderId="16" xfId="0" applyFont="1" applyBorder="1" applyAlignment="1" applyProtection="1">
      <alignment vertical="top"/>
      <protection locked="0"/>
    </xf>
    <xf numFmtId="0" fontId="16" fillId="0" borderId="16" xfId="0" applyFont="1" applyBorder="1" applyAlignment="1" applyProtection="1">
      <alignment horizontal="left" vertical="center"/>
      <protection locked="0"/>
    </xf>
    <xf numFmtId="44" fontId="10" fillId="0" borderId="16" xfId="1" applyFont="1" applyBorder="1" applyAlignment="1" applyProtection="1">
      <alignment horizontal="center" vertical="top"/>
      <protection locked="0"/>
    </xf>
    <xf numFmtId="44" fontId="10" fillId="0" borderId="16" xfId="1" applyFont="1" applyBorder="1" applyAlignment="1" applyProtection="1">
      <alignment horizontal="center" vertical="top" wrapText="1"/>
      <protection locked="0"/>
    </xf>
    <xf numFmtId="44" fontId="10" fillId="0" borderId="16" xfId="1" applyFont="1" applyBorder="1" applyAlignment="1" applyProtection="1">
      <alignment vertical="top"/>
      <protection locked="0"/>
    </xf>
    <xf numFmtId="44" fontId="9" fillId="5" borderId="16" xfId="1" applyFont="1" applyFill="1" applyBorder="1" applyAlignment="1" applyProtection="1">
      <alignment vertical="top"/>
      <protection locked="0"/>
    </xf>
    <xf numFmtId="44" fontId="9" fillId="5" borderId="16" xfId="1" applyFont="1" applyFill="1" applyBorder="1" applyAlignment="1" applyProtection="1">
      <alignment horizontal="right" vertical="top"/>
      <protection locked="0"/>
    </xf>
    <xf numFmtId="44" fontId="10" fillId="7" borderId="16" xfId="1" applyFont="1" applyFill="1" applyBorder="1" applyAlignment="1" applyProtection="1">
      <alignment horizontal="center" vertical="top"/>
      <protection locked="0"/>
    </xf>
    <xf numFmtId="44" fontId="10" fillId="7" borderId="16" xfId="1" applyFont="1" applyFill="1" applyBorder="1" applyAlignment="1" applyProtection="1">
      <alignment horizontal="center" vertical="top" wrapText="1"/>
      <protection locked="0"/>
    </xf>
    <xf numFmtId="44" fontId="10" fillId="7" borderId="16" xfId="1" applyFont="1" applyFill="1" applyBorder="1" applyAlignment="1" applyProtection="1">
      <alignment vertical="top"/>
      <protection locked="0"/>
    </xf>
    <xf numFmtId="44" fontId="10" fillId="7" borderId="19" xfId="1" applyFont="1" applyFill="1" applyBorder="1" applyAlignment="1" applyProtection="1">
      <alignment horizontal="center" vertical="top"/>
      <protection locked="0"/>
    </xf>
    <xf numFmtId="44" fontId="10" fillId="7" borderId="19" xfId="1" applyFont="1" applyFill="1" applyBorder="1" applyAlignment="1" applyProtection="1">
      <alignment horizontal="center" vertical="top" wrapText="1"/>
      <protection locked="0"/>
    </xf>
    <xf numFmtId="44" fontId="10" fillId="7" borderId="19" xfId="1" applyFont="1" applyFill="1" applyBorder="1" applyAlignment="1" applyProtection="1">
      <alignment vertical="top"/>
      <protection locked="0"/>
    </xf>
    <xf numFmtId="44" fontId="10" fillId="0" borderId="1" xfId="1" applyFont="1" applyBorder="1" applyAlignment="1" applyProtection="1">
      <alignment horizontal="center" vertical="top"/>
      <protection locked="0"/>
    </xf>
    <xf numFmtId="44" fontId="10" fillId="0" borderId="1" xfId="1" applyFont="1" applyBorder="1" applyAlignment="1" applyProtection="1">
      <alignment horizontal="center" vertical="top" wrapText="1"/>
      <protection locked="0"/>
    </xf>
    <xf numFmtId="44" fontId="10" fillId="0" borderId="1" xfId="1" applyFont="1" applyBorder="1" applyAlignment="1" applyProtection="1">
      <alignment vertical="top"/>
      <protection locked="0"/>
    </xf>
    <xf numFmtId="44" fontId="14" fillId="7" borderId="1" xfId="1" applyFont="1" applyFill="1" applyBorder="1" applyAlignment="1" applyProtection="1">
      <alignment horizontal="center" vertical="top"/>
      <protection locked="0"/>
    </xf>
    <xf numFmtId="44" fontId="14" fillId="7" borderId="1" xfId="1" applyFont="1" applyFill="1" applyBorder="1" applyAlignment="1" applyProtection="1">
      <alignment horizontal="center" vertical="top" wrapText="1"/>
      <protection locked="0"/>
    </xf>
    <xf numFmtId="44" fontId="14" fillId="7" borderId="1" xfId="1" applyFont="1" applyFill="1" applyBorder="1" applyAlignment="1" applyProtection="1">
      <alignment vertical="top"/>
      <protection locked="0"/>
    </xf>
    <xf numFmtId="44" fontId="4" fillId="6" borderId="1" xfId="1" applyFont="1" applyFill="1" applyBorder="1" applyProtection="1">
      <protection locked="0"/>
    </xf>
    <xf numFmtId="44" fontId="4" fillId="4" borderId="0" xfId="0" applyNumberFormat="1" applyFont="1" applyFill="1" applyProtection="1">
      <protection locked="0"/>
    </xf>
    <xf numFmtId="0" fontId="2" fillId="3" borderId="1" xfId="0" applyFont="1" applyFill="1" applyBorder="1" applyAlignment="1">
      <alignment horizontal="center"/>
    </xf>
    <xf numFmtId="0" fontId="2" fillId="3" borderId="13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3" xfId="0" applyBorder="1" applyAlignment="1">
      <alignment horizontal="left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3" borderId="1" xfId="0" applyFont="1" applyFill="1" applyBorder="1" applyAlignment="1">
      <alignment horizontal="right"/>
    </xf>
    <xf numFmtId="0" fontId="0" fillId="0" borderId="13" xfId="0" applyBorder="1" applyAlignment="1">
      <alignment horizontal="center"/>
    </xf>
    <xf numFmtId="0" fontId="6" fillId="5" borderId="0" xfId="0" applyFont="1" applyFill="1" applyAlignment="1" applyProtection="1">
      <alignment horizontal="center" vertical="center"/>
      <protection locked="0"/>
    </xf>
    <xf numFmtId="0" fontId="13" fillId="5" borderId="17" xfId="0" applyFont="1" applyFill="1" applyBorder="1" applyAlignment="1" applyProtection="1">
      <alignment horizontal="right" vertical="center"/>
      <protection locked="0"/>
    </xf>
    <xf numFmtId="0" fontId="9" fillId="5" borderId="17" xfId="0" applyFont="1" applyFill="1" applyBorder="1" applyAlignment="1" applyProtection="1">
      <alignment horizontal="center" vertical="center"/>
      <protection locked="0"/>
    </xf>
    <xf numFmtId="0" fontId="9" fillId="5" borderId="18" xfId="0" applyFont="1" applyFill="1" applyBorder="1" applyAlignment="1" applyProtection="1">
      <alignment horizontal="center" vertical="center"/>
      <protection locked="0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4" xfId="0" applyBorder="1" applyAlignment="1">
      <alignment horizontal="left"/>
    </xf>
    <xf numFmtId="14" fontId="0" fillId="0" borderId="2" xfId="0" applyNumberFormat="1" applyBorder="1" applyAlignment="1">
      <alignment horizontal="left"/>
    </xf>
    <xf numFmtId="14" fontId="0" fillId="0" borderId="4" xfId="0" applyNumberFormat="1" applyBorder="1" applyAlignment="1">
      <alignment horizontal="left"/>
    </xf>
    <xf numFmtId="0" fontId="2" fillId="3" borderId="2" xfId="0" applyFont="1" applyFill="1" applyBorder="1" applyAlignment="1">
      <alignment horizontal="right"/>
    </xf>
    <xf numFmtId="0" fontId="2" fillId="3" borderId="4" xfId="0" applyFont="1" applyFill="1" applyBorder="1" applyAlignment="1">
      <alignment horizontal="right"/>
    </xf>
    <xf numFmtId="0" fontId="0" fillId="0" borderId="4" xfId="0" applyBorder="1" applyAlignment="1">
      <alignment horizontal="left"/>
    </xf>
    <xf numFmtId="14" fontId="0" fillId="0" borderId="3" xfId="0" applyNumberFormat="1" applyBorder="1" applyAlignment="1">
      <alignment horizontal="left"/>
    </xf>
    <xf numFmtId="14" fontId="0" fillId="0" borderId="14" xfId="0" applyNumberFormat="1" applyBorder="1" applyAlignment="1">
      <alignment horizontal="left"/>
    </xf>
  </cellXfs>
  <cellStyles count="4">
    <cellStyle name="Millares" xfId="3" builtinId="3"/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colors>
    <mruColors>
      <color rgb="FF00376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7569208778480151E-2"/>
          <c:y val="1.706998513297726E-2"/>
          <c:w val="0.70602619742954664"/>
          <c:h val="0.89886944551511483"/>
        </c:manualLayout>
      </c:layout>
      <c:lineChart>
        <c:grouping val="standard"/>
        <c:varyColors val="0"/>
        <c:ser>
          <c:idx val="1"/>
          <c:order val="0"/>
          <c:tx>
            <c:strRef>
              <c:f>'Plantilla Curva S'!$C$16</c:f>
              <c:strCache>
                <c:ptCount val="1"/>
                <c:pt idx="0">
                  <c:v>Valor Planificado Acumulado</c:v>
                </c:pt>
              </c:strCache>
            </c:strRef>
          </c:tx>
          <c:marker>
            <c:symbol val="none"/>
          </c:marker>
          <c:cat>
            <c:numRef>
              <c:f>'Plantilla Curva S'!$D$14:$O$14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'Plantilla Curva S'!$D$16:$O$16</c:f>
              <c:numCache>
                <c:formatCode>_("$"* #,##0.00_);_("$"* \(#,##0.00\);_("$"* "-"??_);_(@_)</c:formatCode>
                <c:ptCount val="12"/>
                <c:pt idx="0">
                  <c:v>2000</c:v>
                </c:pt>
                <c:pt idx="1">
                  <c:v>4000</c:v>
                </c:pt>
                <c:pt idx="2">
                  <c:v>7400</c:v>
                </c:pt>
                <c:pt idx="3">
                  <c:v>10000</c:v>
                </c:pt>
                <c:pt idx="4">
                  <c:v>14300</c:v>
                </c:pt>
                <c:pt idx="5">
                  <c:v>19000</c:v>
                </c:pt>
                <c:pt idx="6">
                  <c:v>23500</c:v>
                </c:pt>
                <c:pt idx="7">
                  <c:v>27000</c:v>
                </c:pt>
                <c:pt idx="8">
                  <c:v>30000</c:v>
                </c:pt>
                <c:pt idx="9">
                  <c:v>32000</c:v>
                </c:pt>
                <c:pt idx="10">
                  <c:v>34100</c:v>
                </c:pt>
                <c:pt idx="11">
                  <c:v>35000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6E-4092-A810-F1B32C16C439}"/>
            </c:ext>
          </c:extLst>
        </c:ser>
        <c:ser>
          <c:idx val="3"/>
          <c:order val="1"/>
          <c:tx>
            <c:strRef>
              <c:f>'Plantilla Curva S'!$C$18</c:f>
              <c:strCache>
                <c:ptCount val="1"/>
                <c:pt idx="0">
                  <c:v>Costo Real Acumulado</c:v>
                </c:pt>
              </c:strCache>
            </c:strRef>
          </c:tx>
          <c:marker>
            <c:symbol val="none"/>
          </c:marker>
          <c:cat>
            <c:numRef>
              <c:f>'Plantilla Curva S'!$D$14:$O$14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'Plantilla Curva S'!$D$18:$O$18</c:f>
              <c:numCache>
                <c:formatCode>_("$"* #,##0.00_);_("$"* \(#,##0.00\);_("$"* "-"??_);_(@_)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86E-4092-A810-F1B32C16C4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3171456"/>
        <c:axId val="193172992"/>
      </c:lineChart>
      <c:catAx>
        <c:axId val="19317145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93172992"/>
        <c:crosses val="autoZero"/>
        <c:auto val="1"/>
        <c:lblAlgn val="ctr"/>
        <c:lblOffset val="100"/>
        <c:noMultiLvlLbl val="0"/>
      </c:catAx>
      <c:valAx>
        <c:axId val="193172992"/>
        <c:scaling>
          <c:orientation val="minMax"/>
        </c:scaling>
        <c:delete val="0"/>
        <c:axPos val="l"/>
        <c:majorGridlines/>
        <c:numFmt formatCode="_(&quot;$&quot;* #,##0.00_);_(&quot;$&quot;* \(#,##0.00\);_(&quot;$&quot;* &quot;-&quot;??_);_(@_)" sourceLinked="1"/>
        <c:majorTickMark val="out"/>
        <c:minorTickMark val="none"/>
        <c:tickLblPos val="nextTo"/>
        <c:crossAx val="19317145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7569208778480151E-2"/>
          <c:y val="1.706998513297726E-2"/>
          <c:w val="0.70602619742954664"/>
          <c:h val="0.89886944551511483"/>
        </c:manualLayout>
      </c:layout>
      <c:lineChart>
        <c:grouping val="standard"/>
        <c:varyColors val="0"/>
        <c:ser>
          <c:idx val="1"/>
          <c:order val="0"/>
          <c:tx>
            <c:strRef>
              <c:f>Ejemplo!$C$16</c:f>
              <c:strCache>
                <c:ptCount val="1"/>
                <c:pt idx="0">
                  <c:v>Valor Planificado Acumulado</c:v>
                </c:pt>
              </c:strCache>
            </c:strRef>
          </c:tx>
          <c:marker>
            <c:symbol val="none"/>
          </c:marker>
          <c:cat>
            <c:strRef>
              <c:f>Ejemplo!$D$14:$O$14</c:f>
              <c:strCache>
                <c:ptCount val="12"/>
                <c:pt idx="0">
                  <c:v>Mes 1</c:v>
                </c:pt>
                <c:pt idx="1">
                  <c:v>Mes 2</c:v>
                </c:pt>
                <c:pt idx="2">
                  <c:v>Mes 3</c:v>
                </c:pt>
                <c:pt idx="3">
                  <c:v>Mes 4</c:v>
                </c:pt>
                <c:pt idx="4">
                  <c:v>Mes 5</c:v>
                </c:pt>
                <c:pt idx="5">
                  <c:v>Mes 6</c:v>
                </c:pt>
                <c:pt idx="6">
                  <c:v>Mes 7</c:v>
                </c:pt>
                <c:pt idx="7">
                  <c:v>Mes 8</c:v>
                </c:pt>
                <c:pt idx="8">
                  <c:v>Mes 9</c:v>
                </c:pt>
                <c:pt idx="9">
                  <c:v>Mes 10</c:v>
                </c:pt>
                <c:pt idx="10">
                  <c:v>Mes 11</c:v>
                </c:pt>
                <c:pt idx="11">
                  <c:v>Mes 12</c:v>
                </c:pt>
              </c:strCache>
            </c:strRef>
          </c:cat>
          <c:val>
            <c:numRef>
              <c:f>Ejemplo!$D$16:$O$16</c:f>
              <c:numCache>
                <c:formatCode>_-"$"* #,##0_-;\-"$"* #,##0_-;_-"$"* "-"??_-;_-@_-</c:formatCode>
                <c:ptCount val="12"/>
                <c:pt idx="0">
                  <c:v>20000</c:v>
                </c:pt>
                <c:pt idx="1">
                  <c:v>60000</c:v>
                </c:pt>
                <c:pt idx="2">
                  <c:v>120000</c:v>
                </c:pt>
                <c:pt idx="3">
                  <c:v>200000</c:v>
                </c:pt>
                <c:pt idx="4">
                  <c:v>320000</c:v>
                </c:pt>
                <c:pt idx="5">
                  <c:v>460000</c:v>
                </c:pt>
                <c:pt idx="6">
                  <c:v>620000</c:v>
                </c:pt>
                <c:pt idx="7">
                  <c:v>800000</c:v>
                </c:pt>
                <c:pt idx="8">
                  <c:v>980000</c:v>
                </c:pt>
                <c:pt idx="9">
                  <c:v>1100000</c:v>
                </c:pt>
                <c:pt idx="10">
                  <c:v>1180000</c:v>
                </c:pt>
                <c:pt idx="11">
                  <c:v>1220000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87-437D-8FD2-1C88788F654F}"/>
            </c:ext>
          </c:extLst>
        </c:ser>
        <c:ser>
          <c:idx val="3"/>
          <c:order val="1"/>
          <c:tx>
            <c:strRef>
              <c:f>Ejemplo!$C$18</c:f>
              <c:strCache>
                <c:ptCount val="1"/>
                <c:pt idx="0">
                  <c:v>Costo Real Acumulado</c:v>
                </c:pt>
              </c:strCache>
            </c:strRef>
          </c:tx>
          <c:marker>
            <c:symbol val="none"/>
          </c:marker>
          <c:cat>
            <c:strRef>
              <c:f>Ejemplo!$D$14:$O$14</c:f>
              <c:strCache>
                <c:ptCount val="12"/>
                <c:pt idx="0">
                  <c:v>Mes 1</c:v>
                </c:pt>
                <c:pt idx="1">
                  <c:v>Mes 2</c:v>
                </c:pt>
                <c:pt idx="2">
                  <c:v>Mes 3</c:v>
                </c:pt>
                <c:pt idx="3">
                  <c:v>Mes 4</c:v>
                </c:pt>
                <c:pt idx="4">
                  <c:v>Mes 5</c:v>
                </c:pt>
                <c:pt idx="5">
                  <c:v>Mes 6</c:v>
                </c:pt>
                <c:pt idx="6">
                  <c:v>Mes 7</c:v>
                </c:pt>
                <c:pt idx="7">
                  <c:v>Mes 8</c:v>
                </c:pt>
                <c:pt idx="8">
                  <c:v>Mes 9</c:v>
                </c:pt>
                <c:pt idx="9">
                  <c:v>Mes 10</c:v>
                </c:pt>
                <c:pt idx="10">
                  <c:v>Mes 11</c:v>
                </c:pt>
                <c:pt idx="11">
                  <c:v>Mes 12</c:v>
                </c:pt>
              </c:strCache>
            </c:strRef>
          </c:cat>
          <c:val>
            <c:numRef>
              <c:f>Ejemplo!$D$18:$O$18</c:f>
              <c:numCache>
                <c:formatCode>_-"$"* #,##0_-;\-"$"* #,##0_-;_-"$"* "-"??_-;_-@_-</c:formatCode>
                <c:ptCount val="12"/>
                <c:pt idx="0">
                  <c:v>20000</c:v>
                </c:pt>
                <c:pt idx="1">
                  <c:v>40000</c:v>
                </c:pt>
                <c:pt idx="2">
                  <c:v>80000</c:v>
                </c:pt>
                <c:pt idx="3">
                  <c:v>140000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887-437D-8FD2-1C88788F65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3911808"/>
        <c:axId val="194196224"/>
      </c:lineChart>
      <c:catAx>
        <c:axId val="19391180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94196224"/>
        <c:crosses val="autoZero"/>
        <c:auto val="1"/>
        <c:lblAlgn val="ctr"/>
        <c:lblOffset val="100"/>
        <c:noMultiLvlLbl val="0"/>
      </c:catAx>
      <c:valAx>
        <c:axId val="194196224"/>
        <c:scaling>
          <c:orientation val="minMax"/>
        </c:scaling>
        <c:delete val="0"/>
        <c:axPos val="l"/>
        <c:majorGridlines/>
        <c:numFmt formatCode="_-&quot;$&quot;* #,##0_-;\-&quot;$&quot;* #,##0_-;_-&quot;$&quot;* &quot;-&quot;??_-;_-@_-" sourceLinked="1"/>
        <c:majorTickMark val="out"/>
        <c:minorTickMark val="none"/>
        <c:tickLblPos val="nextTo"/>
        <c:crossAx val="19391180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388621</xdr:colOff>
      <xdr:row>0</xdr:row>
      <xdr:rowOff>0</xdr:rowOff>
    </xdr:from>
    <xdr:to>
      <xdr:col>1</xdr:col>
      <xdr:colOff>723901</xdr:colOff>
      <xdr:row>4</xdr:row>
      <xdr:rowOff>88027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8621" y="0"/>
          <a:ext cx="876300" cy="90336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746125</xdr:colOff>
      <xdr:row>18</xdr:row>
      <xdr:rowOff>142875</xdr:rowOff>
    </xdr:from>
    <xdr:to>
      <xdr:col>12</xdr:col>
      <xdr:colOff>206375</xdr:colOff>
      <xdr:row>42</xdr:row>
      <xdr:rowOff>111125</xdr:rowOff>
    </xdr:to>
    <xdr:graphicFrame macro="">
      <xdr:nvGraphicFramePr>
        <xdr:cNvPr id="4" name="3 Gráfico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304802</xdr:colOff>
      <xdr:row>1</xdr:row>
      <xdr:rowOff>67734</xdr:rowOff>
    </xdr:from>
    <xdr:to>
      <xdr:col>2</xdr:col>
      <xdr:colOff>1134533</xdr:colOff>
      <xdr:row>5</xdr:row>
      <xdr:rowOff>161013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20802" y="262467"/>
          <a:ext cx="829731" cy="84681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746125</xdr:colOff>
      <xdr:row>18</xdr:row>
      <xdr:rowOff>142875</xdr:rowOff>
    </xdr:from>
    <xdr:to>
      <xdr:col>12</xdr:col>
      <xdr:colOff>206375</xdr:colOff>
      <xdr:row>42</xdr:row>
      <xdr:rowOff>111125</xdr:rowOff>
    </xdr:to>
    <xdr:graphicFrame macro="">
      <xdr:nvGraphicFramePr>
        <xdr:cNvPr id="3" name="2 Gráfico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1079500</xdr:colOff>
      <xdr:row>1</xdr:row>
      <xdr:rowOff>34106</xdr:rowOff>
    </xdr:from>
    <xdr:to>
      <xdr:col>3</xdr:col>
      <xdr:colOff>222250</xdr:colOff>
      <xdr:row>5</xdr:row>
      <xdr:rowOff>104774</xdr:rowOff>
    </xdr:to>
    <xdr:pic>
      <xdr:nvPicPr>
        <xdr:cNvPr id="4097" name="Picture 1" descr="C:\Users\francysr\Desktop\logo_PM4R Cloud.png">
          <a:extLst>
            <a:ext uri="{FF2B5EF4-FFF2-40B4-BE49-F238E27FC236}">
              <a16:creationId xmlns:a16="http://schemas.microsoft.com/office/drawing/2014/main" id="{00000000-0008-0000-0200-000001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3750" y="240481"/>
          <a:ext cx="2127250" cy="8485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6F9A9-FCEB-47B1-AE78-CF1A36A7E64B}">
  <dimension ref="A3:BJ54"/>
  <sheetViews>
    <sheetView topLeftCell="A7" zoomScale="99" zoomScaleNormal="100" workbookViewId="0">
      <pane xSplit="7" topLeftCell="H7" activePane="topRight" state="frozen"/>
      <selection activeCell="A20" sqref="A20"/>
      <selection pane="topRight" activeCell="C27" sqref="C27"/>
    </sheetView>
  </sheetViews>
  <sheetFormatPr defaultColWidth="11.43359375" defaultRowHeight="15" x14ac:dyDescent="0.2"/>
  <cols>
    <col min="1" max="1" width="7.80078125" style="28" bestFit="1" customWidth="1"/>
    <col min="2" max="2" width="50.84765625" style="29" customWidth="1"/>
    <col min="3" max="3" width="10.35546875" style="29" customWidth="1"/>
    <col min="4" max="4" width="10.4921875" style="29" customWidth="1"/>
    <col min="5" max="5" width="10.89453125" style="29" customWidth="1"/>
    <col min="6" max="62" width="10.4921875" style="29" customWidth="1"/>
    <col min="63" max="16384" width="11.43359375" style="29"/>
  </cols>
  <sheetData>
    <row r="3" spans="1:62" ht="21" x14ac:dyDescent="0.3">
      <c r="D3" s="30" t="s">
        <v>36</v>
      </c>
    </row>
    <row r="6" spans="1:62" x14ac:dyDescent="0.2">
      <c r="A6" s="79" t="s">
        <v>23</v>
      </c>
      <c r="B6" s="79"/>
      <c r="C6" s="79"/>
      <c r="D6" s="79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</row>
    <row r="7" spans="1:62" x14ac:dyDescent="0.2">
      <c r="A7" s="35" t="s">
        <v>35</v>
      </c>
      <c r="B7" s="35" t="s">
        <v>37</v>
      </c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</row>
    <row r="8" spans="1:62" x14ac:dyDescent="0.2">
      <c r="A8" s="80" t="s">
        <v>56</v>
      </c>
      <c r="B8" s="80"/>
      <c r="C8" s="36">
        <v>1</v>
      </c>
      <c r="D8" s="36">
        <v>2</v>
      </c>
      <c r="E8" s="36">
        <v>3</v>
      </c>
      <c r="F8" s="36">
        <v>4</v>
      </c>
      <c r="G8" s="36">
        <v>5</v>
      </c>
      <c r="H8" s="36">
        <v>6</v>
      </c>
      <c r="I8" s="36">
        <v>7</v>
      </c>
      <c r="J8" s="36">
        <v>8</v>
      </c>
      <c r="K8" s="36">
        <v>9</v>
      </c>
      <c r="L8" s="36">
        <v>10</v>
      </c>
      <c r="M8" s="36">
        <v>11</v>
      </c>
      <c r="N8" s="36">
        <v>12</v>
      </c>
      <c r="O8" s="36">
        <v>13</v>
      </c>
      <c r="P8" s="36">
        <v>14</v>
      </c>
      <c r="Q8" s="36">
        <v>15</v>
      </c>
      <c r="R8" s="36">
        <v>16</v>
      </c>
      <c r="S8" s="36">
        <v>17</v>
      </c>
      <c r="T8" s="36">
        <v>18</v>
      </c>
      <c r="U8" s="36">
        <v>19</v>
      </c>
      <c r="V8" s="36">
        <v>20</v>
      </c>
      <c r="W8" s="36">
        <v>21</v>
      </c>
      <c r="X8" s="36">
        <v>22</v>
      </c>
      <c r="Y8" s="36">
        <v>23</v>
      </c>
      <c r="Z8" s="36">
        <v>24</v>
      </c>
      <c r="AA8" s="36">
        <v>25</v>
      </c>
      <c r="AB8" s="36">
        <v>26</v>
      </c>
      <c r="AC8" s="36">
        <v>27</v>
      </c>
      <c r="AD8" s="36">
        <v>28</v>
      </c>
      <c r="AE8" s="36">
        <v>29</v>
      </c>
      <c r="AF8" s="36">
        <v>30</v>
      </c>
      <c r="AG8" s="36">
        <v>31</v>
      </c>
      <c r="AH8" s="36">
        <v>32</v>
      </c>
      <c r="AI8" s="36">
        <v>33</v>
      </c>
      <c r="AJ8" s="36">
        <v>34</v>
      </c>
      <c r="AK8" s="36">
        <v>35</v>
      </c>
      <c r="AL8" s="36">
        <v>36</v>
      </c>
      <c r="AM8" s="36">
        <v>37</v>
      </c>
      <c r="AN8" s="36">
        <v>38</v>
      </c>
      <c r="AO8" s="36">
        <v>39</v>
      </c>
      <c r="AP8" s="36">
        <v>40</v>
      </c>
      <c r="AQ8" s="36">
        <v>41</v>
      </c>
      <c r="AR8" s="36">
        <v>42</v>
      </c>
      <c r="AS8" s="36">
        <v>43</v>
      </c>
      <c r="AT8" s="36">
        <v>44</v>
      </c>
      <c r="AU8" s="36">
        <v>45</v>
      </c>
      <c r="AV8" s="36">
        <v>46</v>
      </c>
      <c r="AW8" s="36">
        <v>47</v>
      </c>
      <c r="AX8" s="36">
        <v>48</v>
      </c>
      <c r="AY8" s="36">
        <v>49</v>
      </c>
      <c r="AZ8" s="36">
        <v>50</v>
      </c>
      <c r="BA8" s="36">
        <v>51</v>
      </c>
      <c r="BB8" s="36">
        <v>52</v>
      </c>
      <c r="BC8" s="36">
        <v>53</v>
      </c>
      <c r="BD8" s="36">
        <v>54</v>
      </c>
      <c r="BE8" s="36">
        <v>55</v>
      </c>
      <c r="BF8" s="36">
        <v>56</v>
      </c>
      <c r="BG8" s="36">
        <v>57</v>
      </c>
      <c r="BH8" s="36">
        <v>58</v>
      </c>
      <c r="BI8" s="36">
        <v>59</v>
      </c>
      <c r="BJ8" s="36">
        <v>60</v>
      </c>
    </row>
    <row r="9" spans="1:62" x14ac:dyDescent="0.2">
      <c r="A9" s="81" t="s">
        <v>45</v>
      </c>
      <c r="B9" s="81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</row>
    <row r="10" spans="1:62" x14ac:dyDescent="0.2">
      <c r="A10" s="33" t="s">
        <v>30</v>
      </c>
      <c r="B10" s="34" t="s">
        <v>57</v>
      </c>
      <c r="C10" s="50"/>
      <c r="D10" s="51">
        <v>200</v>
      </c>
      <c r="E10" s="50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52"/>
      <c r="AK10" s="52"/>
      <c r="AL10" s="52"/>
      <c r="AM10" s="52"/>
      <c r="AN10" s="52"/>
      <c r="AO10" s="52"/>
      <c r="AP10" s="52"/>
      <c r="AQ10" s="52"/>
      <c r="AR10" s="52"/>
      <c r="AS10" s="52"/>
      <c r="AT10" s="52"/>
      <c r="AU10" s="52"/>
      <c r="AV10" s="52"/>
      <c r="AW10" s="52"/>
      <c r="AX10" s="52"/>
      <c r="AY10" s="52"/>
      <c r="AZ10" s="52"/>
      <c r="BA10" s="52"/>
      <c r="BB10" s="52"/>
      <c r="BC10" s="52"/>
      <c r="BD10" s="52"/>
      <c r="BE10" s="52"/>
      <c r="BF10" s="52"/>
      <c r="BG10" s="52"/>
      <c r="BH10" s="52"/>
      <c r="BI10" s="52"/>
      <c r="BJ10" s="52"/>
    </row>
    <row r="11" spans="1:62" x14ac:dyDescent="0.2">
      <c r="A11" s="33" t="s">
        <v>38</v>
      </c>
      <c r="B11" s="34" t="s">
        <v>58</v>
      </c>
      <c r="C11" s="50">
        <v>600</v>
      </c>
      <c r="D11" s="51"/>
      <c r="E11" s="50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2"/>
      <c r="AK11" s="52"/>
      <c r="AL11" s="52"/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2"/>
      <c r="BA11" s="52"/>
      <c r="BB11" s="52"/>
      <c r="BC11" s="52"/>
      <c r="BD11" s="52"/>
      <c r="BE11" s="52"/>
      <c r="BF11" s="52"/>
      <c r="BG11" s="52"/>
      <c r="BH11" s="52"/>
      <c r="BI11" s="52"/>
      <c r="BJ11" s="52"/>
    </row>
    <row r="12" spans="1:62" x14ac:dyDescent="0.2">
      <c r="A12" s="33" t="s">
        <v>39</v>
      </c>
      <c r="B12" s="34" t="s">
        <v>59</v>
      </c>
      <c r="C12" s="50">
        <v>900</v>
      </c>
      <c r="D12" s="51"/>
      <c r="E12" s="50"/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52"/>
      <c r="AK12" s="52"/>
      <c r="AL12" s="52"/>
      <c r="AM12" s="52"/>
      <c r="AN12" s="52"/>
      <c r="AO12" s="52"/>
      <c r="AP12" s="52"/>
      <c r="AQ12" s="52"/>
      <c r="AR12" s="52"/>
      <c r="AS12" s="52"/>
      <c r="AT12" s="52"/>
      <c r="AU12" s="52"/>
      <c r="AV12" s="52"/>
      <c r="AW12" s="52"/>
      <c r="AX12" s="52"/>
      <c r="AY12" s="52"/>
      <c r="AZ12" s="52"/>
      <c r="BA12" s="52"/>
      <c r="BB12" s="52"/>
      <c r="BC12" s="52"/>
      <c r="BD12" s="52"/>
      <c r="BE12" s="52"/>
      <c r="BF12" s="52"/>
      <c r="BG12" s="52"/>
      <c r="BH12" s="52"/>
      <c r="BI12" s="52"/>
      <c r="BJ12" s="52"/>
    </row>
    <row r="13" spans="1:62" x14ac:dyDescent="0.2">
      <c r="A13" s="33" t="s">
        <v>40</v>
      </c>
      <c r="B13" s="34" t="s">
        <v>60</v>
      </c>
      <c r="C13" s="50">
        <v>500</v>
      </c>
      <c r="D13" s="51"/>
      <c r="E13" s="50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52"/>
      <c r="AJ13" s="52"/>
      <c r="AK13" s="52"/>
      <c r="AL13" s="52"/>
      <c r="AM13" s="52"/>
      <c r="AN13" s="52"/>
      <c r="AO13" s="52"/>
      <c r="AP13" s="52"/>
      <c r="AQ13" s="52"/>
      <c r="AR13" s="52"/>
      <c r="AS13" s="52"/>
      <c r="AT13" s="52"/>
      <c r="AU13" s="52"/>
      <c r="AV13" s="52"/>
      <c r="AW13" s="52"/>
      <c r="AX13" s="52"/>
      <c r="AY13" s="52"/>
      <c r="AZ13" s="52"/>
      <c r="BA13" s="52"/>
      <c r="BB13" s="52"/>
      <c r="BC13" s="52"/>
      <c r="BD13" s="52"/>
      <c r="BE13" s="52"/>
      <c r="BF13" s="52"/>
      <c r="BG13" s="52"/>
      <c r="BH13" s="52"/>
      <c r="BI13" s="52"/>
      <c r="BJ13" s="52"/>
    </row>
    <row r="14" spans="1:62" x14ac:dyDescent="0.2">
      <c r="A14" s="33" t="s">
        <v>41</v>
      </c>
      <c r="B14" s="34" t="s">
        <v>61</v>
      </c>
      <c r="C14" s="50"/>
      <c r="D14" s="51">
        <v>400</v>
      </c>
      <c r="E14" s="50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2"/>
      <c r="AJ14" s="52"/>
      <c r="AK14" s="52"/>
      <c r="AL14" s="52"/>
      <c r="AM14" s="52"/>
      <c r="AN14" s="52"/>
      <c r="AO14" s="52"/>
      <c r="AP14" s="52"/>
      <c r="AQ14" s="52"/>
      <c r="AR14" s="52"/>
      <c r="AS14" s="52"/>
      <c r="AT14" s="52"/>
      <c r="AU14" s="52"/>
      <c r="AV14" s="52"/>
      <c r="AW14" s="52"/>
      <c r="AX14" s="52"/>
      <c r="AY14" s="52"/>
      <c r="AZ14" s="52"/>
      <c r="BA14" s="52"/>
      <c r="BB14" s="52"/>
      <c r="BC14" s="52"/>
      <c r="BD14" s="52"/>
      <c r="BE14" s="52"/>
      <c r="BF14" s="52"/>
      <c r="BG14" s="52"/>
      <c r="BH14" s="52"/>
      <c r="BI14" s="52"/>
      <c r="BJ14" s="52"/>
    </row>
    <row r="15" spans="1:62" x14ac:dyDescent="0.2">
      <c r="A15" s="33" t="s">
        <v>42</v>
      </c>
      <c r="B15" s="34" t="s">
        <v>62</v>
      </c>
      <c r="C15" s="50"/>
      <c r="D15" s="51">
        <v>200</v>
      </c>
      <c r="E15" s="50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2"/>
      <c r="AH15" s="52"/>
      <c r="AI15" s="52"/>
      <c r="AJ15" s="52"/>
      <c r="AK15" s="52"/>
      <c r="AL15" s="52"/>
      <c r="AM15" s="52"/>
      <c r="AN15" s="52"/>
      <c r="AO15" s="52"/>
      <c r="AP15" s="52"/>
      <c r="AQ15" s="52"/>
      <c r="AR15" s="52"/>
      <c r="AS15" s="52"/>
      <c r="AT15" s="52"/>
      <c r="AU15" s="52"/>
      <c r="AV15" s="52"/>
      <c r="AW15" s="52"/>
      <c r="AX15" s="52"/>
      <c r="AY15" s="52"/>
      <c r="AZ15" s="52"/>
      <c r="BA15" s="52"/>
      <c r="BB15" s="52"/>
      <c r="BC15" s="52"/>
      <c r="BD15" s="52"/>
      <c r="BE15" s="52"/>
      <c r="BF15" s="52"/>
      <c r="BG15" s="52"/>
      <c r="BH15" s="52"/>
      <c r="BI15" s="52"/>
      <c r="BJ15" s="52"/>
    </row>
    <row r="16" spans="1:62" x14ac:dyDescent="0.2">
      <c r="A16" s="33" t="s">
        <v>32</v>
      </c>
      <c r="B16" s="34" t="s">
        <v>99</v>
      </c>
      <c r="C16" s="50"/>
      <c r="D16" s="51">
        <v>700</v>
      </c>
      <c r="E16" s="50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2"/>
      <c r="AJ16" s="52"/>
      <c r="AK16" s="52"/>
      <c r="AL16" s="52"/>
      <c r="AM16" s="52"/>
      <c r="AN16" s="52"/>
      <c r="AO16" s="52"/>
      <c r="AP16" s="52"/>
      <c r="AQ16" s="52"/>
      <c r="AR16" s="52"/>
      <c r="AS16" s="52"/>
      <c r="AT16" s="52"/>
      <c r="AU16" s="52"/>
      <c r="AV16" s="52"/>
      <c r="AW16" s="52"/>
      <c r="AX16" s="52"/>
      <c r="AY16" s="52"/>
      <c r="AZ16" s="52"/>
      <c r="BA16" s="52"/>
      <c r="BB16" s="52"/>
      <c r="BC16" s="52"/>
      <c r="BD16" s="52"/>
      <c r="BE16" s="52"/>
      <c r="BF16" s="52"/>
      <c r="BG16" s="52"/>
      <c r="BH16" s="52"/>
      <c r="BI16" s="52"/>
      <c r="BJ16" s="52"/>
    </row>
    <row r="17" spans="1:62" s="47" customFormat="1" x14ac:dyDescent="0.2">
      <c r="A17" s="49" t="s">
        <v>43</v>
      </c>
      <c r="B17" s="48" t="s">
        <v>63</v>
      </c>
      <c r="C17" s="50"/>
      <c r="D17" s="51">
        <v>500</v>
      </c>
      <c r="E17" s="50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52"/>
      <c r="AJ17" s="52"/>
      <c r="AK17" s="52"/>
      <c r="AL17" s="52"/>
      <c r="AM17" s="52"/>
      <c r="AN17" s="52"/>
      <c r="AO17" s="52"/>
      <c r="AP17" s="52"/>
      <c r="AQ17" s="52"/>
      <c r="AR17" s="52"/>
      <c r="AS17" s="52"/>
      <c r="AT17" s="52"/>
      <c r="AU17" s="52"/>
      <c r="AV17" s="52"/>
      <c r="AW17" s="52"/>
      <c r="AX17" s="52"/>
      <c r="AY17" s="52"/>
      <c r="AZ17" s="52"/>
      <c r="BA17" s="52"/>
      <c r="BB17" s="52"/>
      <c r="BC17" s="52"/>
      <c r="BD17" s="52"/>
      <c r="BE17" s="52"/>
      <c r="BF17" s="52"/>
      <c r="BG17" s="52"/>
      <c r="BH17" s="52"/>
      <c r="BI17" s="52"/>
      <c r="BJ17" s="52"/>
    </row>
    <row r="18" spans="1:62" x14ac:dyDescent="0.2">
      <c r="A18" s="33" t="s">
        <v>44</v>
      </c>
      <c r="B18" s="34"/>
      <c r="C18" s="50"/>
      <c r="D18" s="51"/>
      <c r="E18" s="50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2"/>
      <c r="AJ18" s="52"/>
      <c r="AK18" s="52"/>
      <c r="AL18" s="52"/>
      <c r="AM18" s="52"/>
      <c r="AN18" s="52"/>
      <c r="AO18" s="52"/>
      <c r="AP18" s="52"/>
      <c r="AQ18" s="52"/>
      <c r="AR18" s="52"/>
      <c r="AS18" s="52"/>
      <c r="AT18" s="52"/>
      <c r="AU18" s="52"/>
      <c r="AV18" s="52"/>
      <c r="AW18" s="52"/>
      <c r="AX18" s="52"/>
      <c r="AY18" s="52"/>
      <c r="AZ18" s="52"/>
      <c r="BA18" s="52"/>
      <c r="BB18" s="52"/>
      <c r="BC18" s="52"/>
      <c r="BD18" s="52"/>
      <c r="BE18" s="52"/>
      <c r="BF18" s="52"/>
      <c r="BG18" s="52"/>
      <c r="BH18" s="52"/>
      <c r="BI18" s="52"/>
      <c r="BJ18" s="52"/>
    </row>
    <row r="19" spans="1:62" x14ac:dyDescent="0.2">
      <c r="A19" s="81" t="s">
        <v>46</v>
      </c>
      <c r="B19" s="82"/>
      <c r="C19" s="53"/>
      <c r="D19" s="54"/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3"/>
      <c r="AQ19" s="53"/>
      <c r="AR19" s="53"/>
      <c r="AS19" s="53"/>
      <c r="AT19" s="53"/>
      <c r="AU19" s="53"/>
      <c r="AV19" s="53"/>
      <c r="AW19" s="53"/>
      <c r="AX19" s="53"/>
      <c r="AY19" s="53"/>
      <c r="AZ19" s="53"/>
      <c r="BA19" s="53"/>
      <c r="BB19" s="53"/>
      <c r="BC19" s="53"/>
      <c r="BD19" s="53"/>
      <c r="BE19" s="53"/>
      <c r="BF19" s="53"/>
      <c r="BG19" s="53"/>
      <c r="BH19" s="53"/>
      <c r="BI19" s="53"/>
      <c r="BJ19" s="53"/>
    </row>
    <row r="20" spans="1:62" x14ac:dyDescent="0.2">
      <c r="A20" s="33" t="s">
        <v>33</v>
      </c>
      <c r="B20" s="34" t="s">
        <v>64</v>
      </c>
      <c r="C20" s="50"/>
      <c r="D20" s="51"/>
      <c r="E20" s="50">
        <v>1000</v>
      </c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2"/>
      <c r="AJ20" s="52"/>
      <c r="AK20" s="52"/>
      <c r="AL20" s="52"/>
      <c r="AM20" s="52"/>
      <c r="AN20" s="52"/>
      <c r="AO20" s="52"/>
      <c r="AP20" s="52"/>
      <c r="AQ20" s="52"/>
      <c r="AR20" s="52"/>
      <c r="AS20" s="52"/>
      <c r="AT20" s="52"/>
      <c r="AU20" s="52"/>
      <c r="AV20" s="52"/>
      <c r="AW20" s="52"/>
      <c r="AX20" s="52"/>
      <c r="AY20" s="52"/>
      <c r="AZ20" s="52"/>
      <c r="BA20" s="52"/>
      <c r="BB20" s="52"/>
      <c r="BC20" s="52"/>
      <c r="BD20" s="52"/>
      <c r="BE20" s="52"/>
      <c r="BF20" s="52"/>
      <c r="BG20" s="52"/>
      <c r="BH20" s="52"/>
      <c r="BI20" s="52"/>
      <c r="BJ20" s="52"/>
    </row>
    <row r="21" spans="1:62" x14ac:dyDescent="0.2">
      <c r="A21" s="33" t="s">
        <v>47</v>
      </c>
      <c r="B21" s="34" t="s">
        <v>65</v>
      </c>
      <c r="C21" s="50"/>
      <c r="D21" s="51"/>
      <c r="E21" s="50">
        <v>1400</v>
      </c>
      <c r="F21" s="52"/>
      <c r="G21" s="52"/>
      <c r="H21" s="52"/>
      <c r="I21" s="52"/>
      <c r="J21" s="52"/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2"/>
      <c r="AE21" s="52"/>
      <c r="AF21" s="52"/>
      <c r="AG21" s="52"/>
      <c r="AH21" s="52"/>
      <c r="AI21" s="52"/>
      <c r="AJ21" s="52"/>
      <c r="AK21" s="52"/>
      <c r="AL21" s="52"/>
      <c r="AM21" s="52"/>
      <c r="AN21" s="52"/>
      <c r="AO21" s="52"/>
      <c r="AP21" s="52"/>
      <c r="AQ21" s="52"/>
      <c r="AR21" s="52"/>
      <c r="AS21" s="52"/>
      <c r="AT21" s="52"/>
      <c r="AU21" s="52"/>
      <c r="AV21" s="52"/>
      <c r="AW21" s="52"/>
      <c r="AX21" s="52"/>
      <c r="AY21" s="52"/>
      <c r="AZ21" s="52"/>
      <c r="BA21" s="52"/>
      <c r="BB21" s="52"/>
      <c r="BC21" s="52"/>
      <c r="BD21" s="52"/>
      <c r="BE21" s="52"/>
      <c r="BF21" s="52"/>
      <c r="BG21" s="52"/>
      <c r="BH21" s="52"/>
      <c r="BI21" s="52"/>
      <c r="BJ21" s="52"/>
    </row>
    <row r="22" spans="1:62" x14ac:dyDescent="0.2">
      <c r="A22" s="33" t="s">
        <v>48</v>
      </c>
      <c r="B22" s="34" t="s">
        <v>66</v>
      </c>
      <c r="C22" s="50"/>
      <c r="D22" s="51"/>
      <c r="E22" s="50"/>
      <c r="F22" s="52">
        <v>500</v>
      </c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52"/>
      <c r="AN22" s="52"/>
      <c r="AO22" s="52"/>
      <c r="AP22" s="52"/>
      <c r="AQ22" s="52"/>
      <c r="AR22" s="52"/>
      <c r="AS22" s="52"/>
      <c r="AT22" s="52"/>
      <c r="AU22" s="52"/>
      <c r="AV22" s="52"/>
      <c r="AW22" s="52"/>
      <c r="AX22" s="52"/>
      <c r="AY22" s="52"/>
      <c r="AZ22" s="52"/>
      <c r="BA22" s="52"/>
      <c r="BB22" s="52"/>
      <c r="BC22" s="52"/>
      <c r="BD22" s="52"/>
      <c r="BE22" s="52"/>
      <c r="BF22" s="52"/>
      <c r="BG22" s="52"/>
      <c r="BH22" s="52"/>
      <c r="BI22" s="52"/>
      <c r="BJ22" s="52"/>
    </row>
    <row r="23" spans="1:62" x14ac:dyDescent="0.2">
      <c r="A23" s="33" t="s">
        <v>49</v>
      </c>
      <c r="B23" s="34" t="s">
        <v>67</v>
      </c>
      <c r="C23" s="50"/>
      <c r="D23" s="51"/>
      <c r="E23" s="50">
        <v>1000</v>
      </c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2"/>
      <c r="AE23" s="52"/>
      <c r="AF23" s="52"/>
      <c r="AG23" s="52"/>
      <c r="AH23" s="52"/>
      <c r="AI23" s="52"/>
      <c r="AJ23" s="52"/>
      <c r="AK23" s="52"/>
      <c r="AL23" s="52"/>
      <c r="AM23" s="52"/>
      <c r="AN23" s="52"/>
      <c r="AO23" s="52"/>
      <c r="AP23" s="52"/>
      <c r="AQ23" s="52"/>
      <c r="AR23" s="52"/>
      <c r="AS23" s="52"/>
      <c r="AT23" s="52"/>
      <c r="AU23" s="52"/>
      <c r="AV23" s="52"/>
      <c r="AW23" s="52"/>
      <c r="AX23" s="52"/>
      <c r="AY23" s="52"/>
      <c r="AZ23" s="52"/>
      <c r="BA23" s="52"/>
      <c r="BB23" s="52"/>
      <c r="BC23" s="52"/>
      <c r="BD23" s="52"/>
      <c r="BE23" s="52"/>
      <c r="BF23" s="52"/>
      <c r="BG23" s="52"/>
      <c r="BH23" s="52"/>
      <c r="BI23" s="52"/>
      <c r="BJ23" s="52"/>
    </row>
    <row r="24" spans="1:62" x14ac:dyDescent="0.2">
      <c r="A24" s="33" t="s">
        <v>50</v>
      </c>
      <c r="B24" s="34" t="s">
        <v>68</v>
      </c>
      <c r="C24" s="50"/>
      <c r="D24" s="51"/>
      <c r="E24" s="50"/>
      <c r="F24" s="52">
        <v>400</v>
      </c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52"/>
      <c r="AJ24" s="52"/>
      <c r="AK24" s="52"/>
      <c r="AL24" s="52"/>
      <c r="AM24" s="52"/>
      <c r="AN24" s="52"/>
      <c r="AO24" s="52"/>
      <c r="AP24" s="52"/>
      <c r="AQ24" s="52"/>
      <c r="AR24" s="52"/>
      <c r="AS24" s="52"/>
      <c r="AT24" s="52"/>
      <c r="AU24" s="52"/>
      <c r="AV24" s="52"/>
      <c r="AW24" s="52"/>
      <c r="AX24" s="52"/>
      <c r="AY24" s="52"/>
      <c r="AZ24" s="52"/>
      <c r="BA24" s="52"/>
      <c r="BB24" s="52"/>
      <c r="BC24" s="52"/>
      <c r="BD24" s="52"/>
      <c r="BE24" s="52"/>
      <c r="BF24" s="52"/>
      <c r="BG24" s="52"/>
      <c r="BH24" s="52"/>
      <c r="BI24" s="52"/>
      <c r="BJ24" s="52"/>
    </row>
    <row r="25" spans="1:62" x14ac:dyDescent="0.2">
      <c r="A25" s="33" t="s">
        <v>51</v>
      </c>
      <c r="B25" s="34" t="s">
        <v>69</v>
      </c>
      <c r="C25" s="50"/>
      <c r="D25" s="51"/>
      <c r="E25" s="50"/>
      <c r="F25" s="52">
        <v>900</v>
      </c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2"/>
      <c r="AG25" s="52"/>
      <c r="AH25" s="52"/>
      <c r="AI25" s="52"/>
      <c r="AJ25" s="52"/>
      <c r="AK25" s="52"/>
      <c r="AL25" s="52"/>
      <c r="AM25" s="52"/>
      <c r="AN25" s="52"/>
      <c r="AO25" s="52"/>
      <c r="AP25" s="52"/>
      <c r="AQ25" s="52"/>
      <c r="AR25" s="52"/>
      <c r="AS25" s="52"/>
      <c r="AT25" s="52"/>
      <c r="AU25" s="52"/>
      <c r="AV25" s="52"/>
      <c r="AW25" s="52"/>
      <c r="AX25" s="52"/>
      <c r="AY25" s="52"/>
      <c r="AZ25" s="52"/>
      <c r="BA25" s="52"/>
      <c r="BB25" s="52"/>
      <c r="BC25" s="52"/>
      <c r="BD25" s="52"/>
      <c r="BE25" s="52"/>
      <c r="BF25" s="52"/>
      <c r="BG25" s="52"/>
      <c r="BH25" s="52"/>
      <c r="BI25" s="52"/>
      <c r="BJ25" s="52"/>
    </row>
    <row r="26" spans="1:62" x14ac:dyDescent="0.2">
      <c r="A26" s="33" t="s">
        <v>34</v>
      </c>
      <c r="B26" s="34" t="s">
        <v>70</v>
      </c>
      <c r="C26" s="50"/>
      <c r="D26" s="51"/>
      <c r="E26" s="50"/>
      <c r="F26" s="52">
        <v>800</v>
      </c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2"/>
      <c r="AJ26" s="52"/>
      <c r="AK26" s="52"/>
      <c r="AL26" s="52"/>
      <c r="AM26" s="52"/>
      <c r="AN26" s="52"/>
      <c r="AO26" s="52"/>
      <c r="AP26" s="52"/>
      <c r="AQ26" s="52"/>
      <c r="AR26" s="52"/>
      <c r="AS26" s="52"/>
      <c r="AT26" s="52"/>
      <c r="AU26" s="52"/>
      <c r="AV26" s="52"/>
      <c r="AW26" s="52"/>
      <c r="AX26" s="52"/>
      <c r="AY26" s="52"/>
      <c r="AZ26" s="52"/>
      <c r="BA26" s="52"/>
      <c r="BB26" s="52"/>
      <c r="BC26" s="52"/>
      <c r="BD26" s="52"/>
      <c r="BE26" s="52"/>
      <c r="BF26" s="52"/>
      <c r="BG26" s="52"/>
      <c r="BH26" s="52"/>
      <c r="BI26" s="52"/>
      <c r="BJ26" s="52"/>
    </row>
    <row r="27" spans="1:62" x14ac:dyDescent="0.2">
      <c r="A27" s="33" t="s">
        <v>52</v>
      </c>
      <c r="B27" s="34"/>
      <c r="C27" s="50"/>
      <c r="D27" s="51"/>
      <c r="E27" s="50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2"/>
      <c r="AG27" s="52"/>
      <c r="AH27" s="52"/>
      <c r="AI27" s="52"/>
      <c r="AJ27" s="52"/>
      <c r="AK27" s="52"/>
      <c r="AL27" s="52"/>
      <c r="AM27" s="52"/>
      <c r="AN27" s="52"/>
      <c r="AO27" s="52"/>
      <c r="AP27" s="52"/>
      <c r="AQ27" s="52"/>
      <c r="AR27" s="52"/>
      <c r="AS27" s="52"/>
      <c r="AT27" s="52"/>
      <c r="AU27" s="52"/>
      <c r="AV27" s="52"/>
      <c r="AW27" s="52"/>
      <c r="AX27" s="52"/>
      <c r="AY27" s="52"/>
      <c r="AZ27" s="52"/>
      <c r="BA27" s="52"/>
      <c r="BB27" s="52"/>
      <c r="BC27" s="52"/>
      <c r="BD27" s="52"/>
      <c r="BE27" s="52"/>
      <c r="BF27" s="52"/>
      <c r="BG27" s="52"/>
      <c r="BH27" s="52"/>
      <c r="BI27" s="52"/>
      <c r="BJ27" s="52"/>
    </row>
    <row r="28" spans="1:62" x14ac:dyDescent="0.2">
      <c r="A28" s="81" t="s">
        <v>53</v>
      </c>
      <c r="B28" s="82"/>
      <c r="C28" s="53"/>
      <c r="D28" s="54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53"/>
      <c r="AD28" s="53"/>
      <c r="AE28" s="53"/>
      <c r="AF28" s="53"/>
      <c r="AG28" s="53"/>
      <c r="AH28" s="53"/>
      <c r="AI28" s="53"/>
      <c r="AJ28" s="53"/>
      <c r="AK28" s="53"/>
      <c r="AL28" s="53"/>
      <c r="AM28" s="53"/>
      <c r="AN28" s="53"/>
      <c r="AO28" s="53"/>
      <c r="AP28" s="53"/>
      <c r="AQ28" s="53"/>
      <c r="AR28" s="53"/>
      <c r="AS28" s="53"/>
      <c r="AT28" s="53"/>
      <c r="AU28" s="53"/>
      <c r="AV28" s="53"/>
      <c r="AW28" s="53"/>
      <c r="AX28" s="53"/>
      <c r="AY28" s="53"/>
      <c r="AZ28" s="53"/>
      <c r="BA28" s="53"/>
      <c r="BB28" s="53"/>
      <c r="BC28" s="53"/>
      <c r="BD28" s="53"/>
      <c r="BE28" s="53"/>
      <c r="BF28" s="53"/>
      <c r="BG28" s="53"/>
      <c r="BH28" s="53"/>
      <c r="BI28" s="53"/>
      <c r="BJ28" s="53"/>
    </row>
    <row r="29" spans="1:62" x14ac:dyDescent="0.2">
      <c r="A29" s="33" t="s">
        <v>86</v>
      </c>
      <c r="B29" s="34" t="s">
        <v>31</v>
      </c>
      <c r="C29" s="50"/>
      <c r="D29" s="51"/>
      <c r="E29" s="50"/>
      <c r="F29" s="52"/>
      <c r="G29" s="52"/>
      <c r="H29" s="52">
        <v>1200</v>
      </c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52"/>
      <c r="AF29" s="52"/>
      <c r="AG29" s="52"/>
      <c r="AH29" s="52"/>
      <c r="AI29" s="52"/>
      <c r="AJ29" s="52"/>
      <c r="AK29" s="52"/>
      <c r="AL29" s="52"/>
      <c r="AM29" s="52"/>
      <c r="AN29" s="52"/>
      <c r="AO29" s="52"/>
      <c r="AP29" s="52"/>
      <c r="AQ29" s="52"/>
      <c r="AR29" s="52"/>
      <c r="AS29" s="52"/>
      <c r="AT29" s="52"/>
      <c r="AU29" s="52"/>
      <c r="AV29" s="52"/>
      <c r="AW29" s="52"/>
      <c r="AX29" s="52"/>
      <c r="AY29" s="52"/>
      <c r="AZ29" s="52"/>
      <c r="BA29" s="52"/>
      <c r="BB29" s="52"/>
      <c r="BC29" s="52"/>
      <c r="BD29" s="52"/>
      <c r="BE29" s="52"/>
      <c r="BF29" s="52"/>
      <c r="BG29" s="52"/>
      <c r="BH29" s="52"/>
      <c r="BI29" s="52"/>
      <c r="BJ29" s="52"/>
    </row>
    <row r="30" spans="1:62" x14ac:dyDescent="0.2">
      <c r="A30" s="33" t="s">
        <v>87</v>
      </c>
      <c r="B30" s="34" t="s">
        <v>71</v>
      </c>
      <c r="C30" s="50"/>
      <c r="D30" s="51"/>
      <c r="E30" s="50"/>
      <c r="F30" s="52"/>
      <c r="G30" s="52"/>
      <c r="H30" s="52">
        <v>1500</v>
      </c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2"/>
      <c r="AJ30" s="52"/>
      <c r="AK30" s="52"/>
      <c r="AL30" s="52"/>
      <c r="AM30" s="52"/>
      <c r="AN30" s="52"/>
      <c r="AO30" s="52"/>
      <c r="AP30" s="52"/>
      <c r="AQ30" s="52"/>
      <c r="AR30" s="52"/>
      <c r="AS30" s="52"/>
      <c r="AT30" s="52"/>
      <c r="AU30" s="52"/>
      <c r="AV30" s="52"/>
      <c r="AW30" s="52"/>
      <c r="AX30" s="52"/>
      <c r="AY30" s="52"/>
      <c r="AZ30" s="52"/>
      <c r="BA30" s="52"/>
      <c r="BB30" s="52"/>
      <c r="BC30" s="52"/>
      <c r="BD30" s="52"/>
      <c r="BE30" s="52"/>
      <c r="BF30" s="52"/>
      <c r="BG30" s="52"/>
      <c r="BH30" s="52"/>
      <c r="BI30" s="52"/>
      <c r="BJ30" s="52"/>
    </row>
    <row r="31" spans="1:62" x14ac:dyDescent="0.2">
      <c r="A31" s="33" t="s">
        <v>88</v>
      </c>
      <c r="B31" s="34" t="s">
        <v>72</v>
      </c>
      <c r="C31" s="50"/>
      <c r="D31" s="51"/>
      <c r="E31" s="50"/>
      <c r="F31" s="52"/>
      <c r="G31" s="52"/>
      <c r="H31" s="52">
        <v>2000</v>
      </c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I31" s="52"/>
      <c r="AJ31" s="52"/>
      <c r="AK31" s="52"/>
      <c r="AL31" s="52"/>
      <c r="AM31" s="52"/>
      <c r="AN31" s="52"/>
      <c r="AO31" s="52"/>
      <c r="AP31" s="52"/>
      <c r="AQ31" s="52"/>
      <c r="AR31" s="52"/>
      <c r="AS31" s="52"/>
      <c r="AT31" s="52"/>
      <c r="AU31" s="52"/>
      <c r="AV31" s="52"/>
      <c r="AW31" s="52"/>
      <c r="AX31" s="52"/>
      <c r="AY31" s="52"/>
      <c r="AZ31" s="52"/>
      <c r="BA31" s="52"/>
      <c r="BB31" s="52"/>
      <c r="BC31" s="52"/>
      <c r="BD31" s="52"/>
      <c r="BE31" s="52"/>
      <c r="BF31" s="52"/>
      <c r="BG31" s="52"/>
      <c r="BH31" s="52"/>
      <c r="BI31" s="52"/>
      <c r="BJ31" s="52"/>
    </row>
    <row r="32" spans="1:62" x14ac:dyDescent="0.2">
      <c r="A32" s="33" t="s">
        <v>89</v>
      </c>
      <c r="B32" s="34" t="s">
        <v>73</v>
      </c>
      <c r="C32" s="50"/>
      <c r="D32" s="51"/>
      <c r="E32" s="50"/>
      <c r="F32" s="52"/>
      <c r="G32" s="52">
        <v>2500</v>
      </c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52"/>
      <c r="AJ32" s="52"/>
      <c r="AK32" s="52"/>
      <c r="AL32" s="52"/>
      <c r="AM32" s="52"/>
      <c r="AN32" s="52"/>
      <c r="AO32" s="52"/>
      <c r="AP32" s="52"/>
      <c r="AQ32" s="52"/>
      <c r="AR32" s="52"/>
      <c r="AS32" s="52"/>
      <c r="AT32" s="52"/>
      <c r="AU32" s="52"/>
      <c r="AV32" s="52"/>
      <c r="AW32" s="52"/>
      <c r="AX32" s="52"/>
      <c r="AY32" s="52"/>
      <c r="AZ32" s="52"/>
      <c r="BA32" s="52"/>
      <c r="BB32" s="52"/>
      <c r="BC32" s="52"/>
      <c r="BD32" s="52"/>
      <c r="BE32" s="52"/>
      <c r="BF32" s="52"/>
      <c r="BG32" s="52"/>
      <c r="BH32" s="52"/>
      <c r="BI32" s="52"/>
      <c r="BJ32" s="52"/>
    </row>
    <row r="33" spans="1:62" x14ac:dyDescent="0.2">
      <c r="A33" s="33" t="s">
        <v>90</v>
      </c>
      <c r="B33" s="34" t="s">
        <v>74</v>
      </c>
      <c r="C33" s="50"/>
      <c r="D33" s="51"/>
      <c r="E33" s="50"/>
      <c r="F33" s="52"/>
      <c r="G33" s="52">
        <v>1800</v>
      </c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52"/>
      <c r="AJ33" s="52"/>
      <c r="AK33" s="52"/>
      <c r="AL33" s="52"/>
      <c r="AM33" s="52"/>
      <c r="AN33" s="52"/>
      <c r="AO33" s="52"/>
      <c r="AP33" s="52"/>
      <c r="AQ33" s="52"/>
      <c r="AR33" s="52"/>
      <c r="AS33" s="52"/>
      <c r="AT33" s="52"/>
      <c r="AU33" s="52"/>
      <c r="AV33" s="52"/>
      <c r="AW33" s="52"/>
      <c r="AX33" s="52"/>
      <c r="AY33" s="52"/>
      <c r="AZ33" s="52"/>
      <c r="BA33" s="52"/>
      <c r="BB33" s="52"/>
      <c r="BC33" s="52"/>
      <c r="BD33" s="52"/>
      <c r="BE33" s="52"/>
      <c r="BF33" s="52"/>
      <c r="BG33" s="52"/>
      <c r="BH33" s="52"/>
      <c r="BI33" s="52"/>
      <c r="BJ33" s="52"/>
    </row>
    <row r="34" spans="1:62" s="40" customFormat="1" x14ac:dyDescent="0.2">
      <c r="A34" s="39"/>
      <c r="B34" s="41" t="s">
        <v>75</v>
      </c>
      <c r="C34" s="55"/>
      <c r="D34" s="56"/>
      <c r="E34" s="55"/>
      <c r="F34" s="57"/>
      <c r="G34" s="57"/>
      <c r="H34" s="57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  <c r="AA34" s="57"/>
      <c r="AB34" s="57"/>
      <c r="AC34" s="57"/>
      <c r="AD34" s="57"/>
      <c r="AE34" s="57"/>
      <c r="AF34" s="57"/>
      <c r="AG34" s="57"/>
      <c r="AH34" s="57"/>
      <c r="AI34" s="57"/>
      <c r="AJ34" s="57"/>
      <c r="AK34" s="57"/>
      <c r="AL34" s="57"/>
      <c r="AM34" s="57"/>
      <c r="AN34" s="57"/>
      <c r="AO34" s="57"/>
      <c r="AP34" s="57"/>
      <c r="AQ34" s="57"/>
      <c r="AR34" s="57"/>
      <c r="AS34" s="57"/>
      <c r="AT34" s="57"/>
      <c r="AU34" s="57"/>
      <c r="AV34" s="57"/>
      <c r="AW34" s="57"/>
      <c r="AX34" s="57"/>
      <c r="AY34" s="57"/>
      <c r="AZ34" s="57"/>
      <c r="BA34" s="57"/>
      <c r="BB34" s="57"/>
      <c r="BC34" s="57"/>
      <c r="BD34" s="57"/>
      <c r="BE34" s="57"/>
      <c r="BF34" s="57"/>
      <c r="BG34" s="57"/>
      <c r="BH34" s="57"/>
      <c r="BI34" s="57"/>
      <c r="BJ34" s="57"/>
    </row>
    <row r="35" spans="1:62" x14ac:dyDescent="0.2">
      <c r="A35" s="33" t="s">
        <v>95</v>
      </c>
      <c r="B35" s="34" t="s">
        <v>76</v>
      </c>
      <c r="C35" s="50"/>
      <c r="D35" s="51"/>
      <c r="E35" s="50"/>
      <c r="F35" s="52"/>
      <c r="G35" s="52"/>
      <c r="H35" s="52"/>
      <c r="I35" s="52"/>
      <c r="J35" s="52">
        <v>2000</v>
      </c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52"/>
      <c r="AJ35" s="52"/>
      <c r="AK35" s="52"/>
      <c r="AL35" s="52"/>
      <c r="AM35" s="52"/>
      <c r="AN35" s="52"/>
      <c r="AO35" s="52"/>
      <c r="AP35" s="52"/>
      <c r="AQ35" s="52"/>
      <c r="AR35" s="52"/>
      <c r="AS35" s="52"/>
      <c r="AT35" s="52"/>
      <c r="AU35" s="52"/>
      <c r="AV35" s="52"/>
      <c r="AW35" s="52"/>
      <c r="AX35" s="52"/>
      <c r="AY35" s="52"/>
      <c r="AZ35" s="52"/>
      <c r="BA35" s="52"/>
      <c r="BB35" s="52"/>
      <c r="BC35" s="52"/>
      <c r="BD35" s="52"/>
      <c r="BE35" s="52"/>
      <c r="BF35" s="52"/>
      <c r="BG35" s="52"/>
      <c r="BH35" s="52"/>
      <c r="BI35" s="52"/>
      <c r="BJ35" s="52"/>
    </row>
    <row r="36" spans="1:62" x14ac:dyDescent="0.2">
      <c r="A36" s="33" t="s">
        <v>91</v>
      </c>
      <c r="B36" s="34" t="s">
        <v>77</v>
      </c>
      <c r="C36" s="50"/>
      <c r="D36" s="51"/>
      <c r="E36" s="50"/>
      <c r="F36" s="52"/>
      <c r="G36" s="52"/>
      <c r="H36" s="52"/>
      <c r="I36" s="52"/>
      <c r="J36" s="52">
        <v>1500</v>
      </c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52"/>
      <c r="AG36" s="52"/>
      <c r="AH36" s="52"/>
      <c r="AI36" s="52"/>
      <c r="AJ36" s="52"/>
      <c r="AK36" s="52"/>
      <c r="AL36" s="52"/>
      <c r="AM36" s="52"/>
      <c r="AN36" s="52"/>
      <c r="AO36" s="52"/>
      <c r="AP36" s="52"/>
      <c r="AQ36" s="52"/>
      <c r="AR36" s="52"/>
      <c r="AS36" s="52"/>
      <c r="AT36" s="52"/>
      <c r="AU36" s="52"/>
      <c r="AV36" s="52"/>
      <c r="AW36" s="52"/>
      <c r="AX36" s="52"/>
      <c r="AY36" s="52"/>
      <c r="AZ36" s="52"/>
      <c r="BA36" s="52"/>
      <c r="BB36" s="52"/>
      <c r="BC36" s="52"/>
      <c r="BD36" s="52"/>
      <c r="BE36" s="52"/>
      <c r="BF36" s="52"/>
      <c r="BG36" s="52"/>
      <c r="BH36" s="52"/>
      <c r="BI36" s="52"/>
      <c r="BJ36" s="52"/>
    </row>
    <row r="37" spans="1:62" x14ac:dyDescent="0.2">
      <c r="A37" s="33" t="s">
        <v>92</v>
      </c>
      <c r="B37" s="34" t="s">
        <v>78</v>
      </c>
      <c r="C37" s="50"/>
      <c r="D37" s="51"/>
      <c r="E37" s="50"/>
      <c r="F37" s="52"/>
      <c r="G37" s="52"/>
      <c r="H37" s="52"/>
      <c r="I37" s="52">
        <v>2000</v>
      </c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  <c r="AE37" s="52"/>
      <c r="AF37" s="52"/>
      <c r="AG37" s="52"/>
      <c r="AH37" s="52"/>
      <c r="AI37" s="52"/>
      <c r="AJ37" s="52"/>
      <c r="AK37" s="52"/>
      <c r="AL37" s="52"/>
      <c r="AM37" s="52"/>
      <c r="AN37" s="52"/>
      <c r="AO37" s="52"/>
      <c r="AP37" s="52"/>
      <c r="AQ37" s="52"/>
      <c r="AR37" s="52"/>
      <c r="AS37" s="52"/>
      <c r="AT37" s="52"/>
      <c r="AU37" s="52"/>
      <c r="AV37" s="52"/>
      <c r="AW37" s="52"/>
      <c r="AX37" s="52"/>
      <c r="AY37" s="52"/>
      <c r="AZ37" s="52"/>
      <c r="BA37" s="52"/>
      <c r="BB37" s="52"/>
      <c r="BC37" s="52"/>
      <c r="BD37" s="52"/>
      <c r="BE37" s="52"/>
      <c r="BF37" s="52"/>
      <c r="BG37" s="52"/>
      <c r="BH37" s="52"/>
      <c r="BI37" s="52"/>
      <c r="BJ37" s="52"/>
    </row>
    <row r="38" spans="1:62" x14ac:dyDescent="0.2">
      <c r="A38" s="33" t="s">
        <v>93</v>
      </c>
      <c r="B38" s="34" t="s">
        <v>79</v>
      </c>
      <c r="C38" s="50"/>
      <c r="D38" s="51"/>
      <c r="E38" s="50"/>
      <c r="F38" s="52"/>
      <c r="G38" s="52"/>
      <c r="H38" s="52"/>
      <c r="I38" s="52">
        <v>2500</v>
      </c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  <c r="AB38" s="52"/>
      <c r="AC38" s="52"/>
      <c r="AD38" s="52"/>
      <c r="AE38" s="52"/>
      <c r="AF38" s="52"/>
      <c r="AG38" s="52"/>
      <c r="AH38" s="52"/>
      <c r="AI38" s="52"/>
      <c r="AJ38" s="52"/>
      <c r="AK38" s="52"/>
      <c r="AL38" s="52"/>
      <c r="AM38" s="52"/>
      <c r="AN38" s="52"/>
      <c r="AO38" s="52"/>
      <c r="AP38" s="52"/>
      <c r="AQ38" s="52"/>
      <c r="AR38" s="52"/>
      <c r="AS38" s="52"/>
      <c r="AT38" s="52"/>
      <c r="AU38" s="52"/>
      <c r="AV38" s="52"/>
      <c r="AW38" s="52"/>
      <c r="AX38" s="52"/>
      <c r="AY38" s="52"/>
      <c r="AZ38" s="52"/>
      <c r="BA38" s="52"/>
      <c r="BB38" s="52"/>
      <c r="BC38" s="52"/>
      <c r="BD38" s="52"/>
      <c r="BE38" s="52"/>
      <c r="BF38" s="52"/>
      <c r="BG38" s="52"/>
      <c r="BH38" s="52"/>
      <c r="BI38" s="52"/>
      <c r="BJ38" s="52"/>
    </row>
    <row r="39" spans="1:62" s="40" customFormat="1" x14ac:dyDescent="0.2">
      <c r="A39" s="39"/>
      <c r="B39" s="41" t="s">
        <v>80</v>
      </c>
      <c r="C39" s="58"/>
      <c r="D39" s="59"/>
      <c r="E39" s="58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  <c r="AI39" s="60"/>
      <c r="AJ39" s="60"/>
      <c r="AK39" s="60"/>
      <c r="AL39" s="60"/>
      <c r="AM39" s="60"/>
      <c r="AN39" s="60"/>
      <c r="AO39" s="60"/>
      <c r="AP39" s="60"/>
      <c r="AQ39" s="60"/>
      <c r="AR39" s="60"/>
      <c r="AS39" s="60"/>
      <c r="AT39" s="60"/>
      <c r="AU39" s="60"/>
      <c r="AV39" s="60"/>
      <c r="AW39" s="60"/>
      <c r="AX39" s="60"/>
      <c r="AY39" s="60"/>
      <c r="AZ39" s="60"/>
      <c r="BA39" s="60"/>
      <c r="BB39" s="60"/>
      <c r="BC39" s="60"/>
      <c r="BD39" s="60"/>
      <c r="BE39" s="60"/>
      <c r="BF39" s="60"/>
      <c r="BG39" s="60"/>
      <c r="BH39" s="60"/>
      <c r="BI39" s="60"/>
      <c r="BJ39" s="60"/>
    </row>
    <row r="40" spans="1:62" x14ac:dyDescent="0.2">
      <c r="A40" s="33" t="s">
        <v>94</v>
      </c>
      <c r="B40" s="38" t="s">
        <v>81</v>
      </c>
      <c r="C40" s="61"/>
      <c r="D40" s="62"/>
      <c r="E40" s="61"/>
      <c r="F40" s="63"/>
      <c r="G40" s="63"/>
      <c r="H40" s="63"/>
      <c r="I40" s="63"/>
      <c r="J40" s="63"/>
      <c r="K40" s="63"/>
      <c r="L40" s="63">
        <v>500</v>
      </c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3"/>
      <c r="AC40" s="63"/>
      <c r="AD40" s="63"/>
      <c r="AE40" s="63"/>
      <c r="AF40" s="63"/>
      <c r="AG40" s="63"/>
      <c r="AH40" s="63"/>
      <c r="AI40" s="63"/>
      <c r="AJ40" s="63"/>
      <c r="AK40" s="63"/>
      <c r="AL40" s="63"/>
      <c r="AM40" s="63"/>
      <c r="AN40" s="63"/>
      <c r="AO40" s="63"/>
      <c r="AP40" s="63"/>
      <c r="AQ40" s="63"/>
      <c r="AR40" s="63"/>
      <c r="AS40" s="63"/>
      <c r="AT40" s="63"/>
      <c r="AU40" s="63"/>
      <c r="AV40" s="63"/>
      <c r="AW40" s="63"/>
      <c r="AX40" s="63"/>
      <c r="AY40" s="63"/>
      <c r="AZ40" s="63"/>
      <c r="BA40" s="63"/>
      <c r="BB40" s="63"/>
      <c r="BC40" s="63"/>
      <c r="BD40" s="63"/>
      <c r="BE40" s="63"/>
      <c r="BF40" s="63"/>
      <c r="BG40" s="63"/>
      <c r="BH40" s="63"/>
      <c r="BI40" s="63"/>
      <c r="BJ40" s="63"/>
    </row>
    <row r="41" spans="1:62" x14ac:dyDescent="0.2">
      <c r="A41" s="42" t="s">
        <v>97</v>
      </c>
      <c r="B41" s="43" t="s">
        <v>82</v>
      </c>
      <c r="C41" s="61"/>
      <c r="D41" s="62"/>
      <c r="E41" s="61"/>
      <c r="F41" s="63"/>
      <c r="G41" s="63"/>
      <c r="H41" s="63"/>
      <c r="I41" s="63"/>
      <c r="J41" s="63"/>
      <c r="K41" s="63"/>
      <c r="L41" s="63">
        <v>1500</v>
      </c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3"/>
      <c r="AC41" s="63"/>
      <c r="AD41" s="63"/>
      <c r="AE41" s="63"/>
      <c r="AF41" s="63"/>
      <c r="AG41" s="63"/>
      <c r="AH41" s="63"/>
      <c r="AI41" s="63"/>
      <c r="AJ41" s="63"/>
      <c r="AK41" s="63"/>
      <c r="AL41" s="63"/>
      <c r="AM41" s="63"/>
      <c r="AN41" s="63"/>
      <c r="AO41" s="63"/>
      <c r="AP41" s="63"/>
      <c r="AQ41" s="63"/>
      <c r="AR41" s="63"/>
      <c r="AS41" s="63"/>
      <c r="AT41" s="63"/>
      <c r="AU41" s="63"/>
      <c r="AV41" s="63"/>
      <c r="AW41" s="63"/>
      <c r="AX41" s="63"/>
      <c r="AY41" s="63"/>
      <c r="AZ41" s="63"/>
      <c r="BA41" s="63"/>
      <c r="BB41" s="63"/>
      <c r="BC41" s="63"/>
      <c r="BD41" s="63"/>
      <c r="BE41" s="63"/>
      <c r="BF41" s="63"/>
      <c r="BG41" s="63"/>
      <c r="BH41" s="63"/>
      <c r="BI41" s="63"/>
      <c r="BJ41" s="63"/>
    </row>
    <row r="42" spans="1:62" x14ac:dyDescent="0.2">
      <c r="A42" s="42" t="s">
        <v>96</v>
      </c>
      <c r="B42" s="43" t="s">
        <v>83</v>
      </c>
      <c r="C42" s="61"/>
      <c r="D42" s="62"/>
      <c r="E42" s="61"/>
      <c r="F42" s="63"/>
      <c r="G42" s="63"/>
      <c r="H42" s="63"/>
      <c r="I42" s="63"/>
      <c r="J42" s="63"/>
      <c r="K42" s="63">
        <v>1800</v>
      </c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3"/>
      <c r="Z42" s="63"/>
      <c r="AA42" s="63"/>
      <c r="AB42" s="63"/>
      <c r="AC42" s="63"/>
      <c r="AD42" s="63"/>
      <c r="AE42" s="63"/>
      <c r="AF42" s="63"/>
      <c r="AG42" s="63"/>
      <c r="AH42" s="63"/>
      <c r="AI42" s="63"/>
      <c r="AJ42" s="63"/>
      <c r="AK42" s="63"/>
      <c r="AL42" s="63"/>
      <c r="AM42" s="63"/>
      <c r="AN42" s="63"/>
      <c r="AO42" s="63"/>
      <c r="AP42" s="63"/>
      <c r="AQ42" s="63"/>
      <c r="AR42" s="63"/>
      <c r="AS42" s="63"/>
      <c r="AT42" s="63"/>
      <c r="AU42" s="63"/>
      <c r="AV42" s="63"/>
      <c r="AW42" s="63"/>
      <c r="AX42" s="63"/>
      <c r="AY42" s="63"/>
      <c r="AZ42" s="63"/>
      <c r="BA42" s="63"/>
      <c r="BB42" s="63"/>
      <c r="BC42" s="63"/>
      <c r="BD42" s="63"/>
      <c r="BE42" s="63"/>
      <c r="BF42" s="63"/>
      <c r="BG42" s="63"/>
      <c r="BH42" s="63"/>
      <c r="BI42" s="63"/>
      <c r="BJ42" s="63"/>
    </row>
    <row r="43" spans="1:62" x14ac:dyDescent="0.2">
      <c r="A43" s="42" t="s">
        <v>98</v>
      </c>
      <c r="B43" s="43" t="s">
        <v>84</v>
      </c>
      <c r="C43" s="61"/>
      <c r="D43" s="62"/>
      <c r="E43" s="61"/>
      <c r="F43" s="63"/>
      <c r="G43" s="63"/>
      <c r="H43" s="63"/>
      <c r="I43" s="63"/>
      <c r="J43" s="63"/>
      <c r="K43" s="63">
        <v>1200</v>
      </c>
      <c r="L43" s="63"/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  <c r="Y43" s="63"/>
      <c r="Z43" s="63"/>
      <c r="AA43" s="63"/>
      <c r="AB43" s="63"/>
      <c r="AC43" s="63"/>
      <c r="AD43" s="63"/>
      <c r="AE43" s="63"/>
      <c r="AF43" s="63"/>
      <c r="AG43" s="63"/>
      <c r="AH43" s="63"/>
      <c r="AI43" s="63"/>
      <c r="AJ43" s="63"/>
      <c r="AK43" s="63"/>
      <c r="AL43" s="63"/>
      <c r="AM43" s="63"/>
      <c r="AN43" s="63"/>
      <c r="AO43" s="63"/>
      <c r="AP43" s="63"/>
      <c r="AQ43" s="63"/>
      <c r="AR43" s="63"/>
      <c r="AS43" s="63"/>
      <c r="AT43" s="63"/>
      <c r="AU43" s="63"/>
      <c r="AV43" s="63"/>
      <c r="AW43" s="63"/>
      <c r="AX43" s="63"/>
      <c r="AY43" s="63"/>
      <c r="AZ43" s="63"/>
      <c r="BA43" s="63"/>
      <c r="BB43" s="63"/>
      <c r="BC43" s="63"/>
      <c r="BD43" s="63"/>
      <c r="BE43" s="63"/>
      <c r="BF43" s="63"/>
      <c r="BG43" s="63"/>
      <c r="BH43" s="63"/>
      <c r="BI43" s="63"/>
      <c r="BJ43" s="63"/>
    </row>
    <row r="44" spans="1:62" s="45" customFormat="1" x14ac:dyDescent="0.2">
      <c r="A44" s="44"/>
      <c r="B44" s="46" t="s">
        <v>85</v>
      </c>
      <c r="C44" s="64"/>
      <c r="D44" s="65"/>
      <c r="E44" s="64"/>
      <c r="F44" s="66"/>
      <c r="G44" s="66"/>
      <c r="H44" s="66"/>
      <c r="I44" s="66"/>
      <c r="J44" s="66"/>
      <c r="K44" s="66"/>
      <c r="L44" s="66"/>
      <c r="M44" s="66"/>
      <c r="N44" s="66"/>
      <c r="O44" s="66"/>
      <c r="P44" s="66"/>
      <c r="Q44" s="66"/>
      <c r="R44" s="66"/>
      <c r="S44" s="66"/>
      <c r="T44" s="66"/>
      <c r="U44" s="66"/>
      <c r="V44" s="66"/>
      <c r="W44" s="66"/>
      <c r="X44" s="66"/>
      <c r="Y44" s="66"/>
      <c r="Z44" s="66"/>
      <c r="AA44" s="66"/>
      <c r="AB44" s="66"/>
      <c r="AC44" s="66"/>
      <c r="AD44" s="66"/>
      <c r="AE44" s="66"/>
      <c r="AF44" s="66"/>
      <c r="AG44" s="66"/>
      <c r="AH44" s="66"/>
      <c r="AI44" s="66"/>
      <c r="AJ44" s="66"/>
      <c r="AK44" s="66"/>
      <c r="AL44" s="66"/>
      <c r="AM44" s="66"/>
      <c r="AN44" s="66"/>
      <c r="AO44" s="66"/>
      <c r="AP44" s="66"/>
      <c r="AQ44" s="66"/>
      <c r="AR44" s="66"/>
      <c r="AS44" s="66"/>
      <c r="AT44" s="66"/>
      <c r="AU44" s="66"/>
      <c r="AV44" s="66"/>
      <c r="AW44" s="66"/>
      <c r="AX44" s="66"/>
      <c r="AY44" s="66"/>
      <c r="AZ44" s="66"/>
      <c r="BA44" s="66"/>
      <c r="BB44" s="66"/>
      <c r="BC44" s="66"/>
      <c r="BD44" s="66"/>
      <c r="BE44" s="66"/>
      <c r="BF44" s="66"/>
      <c r="BG44" s="66"/>
      <c r="BH44" s="66"/>
      <c r="BI44" s="66"/>
      <c r="BJ44" s="66"/>
    </row>
    <row r="45" spans="1:62" x14ac:dyDescent="0.2">
      <c r="A45" s="42"/>
      <c r="B45" s="43" t="s">
        <v>100</v>
      </c>
      <c r="C45" s="61"/>
      <c r="D45" s="62"/>
      <c r="E45" s="61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  <c r="Z45" s="63"/>
      <c r="AA45" s="63"/>
      <c r="AB45" s="63"/>
      <c r="AC45" s="63"/>
      <c r="AD45" s="63"/>
      <c r="AE45" s="63"/>
      <c r="AF45" s="63"/>
      <c r="AG45" s="63"/>
      <c r="AH45" s="63"/>
      <c r="AI45" s="63"/>
      <c r="AJ45" s="63"/>
      <c r="AK45" s="63"/>
      <c r="AL45" s="63"/>
      <c r="AM45" s="63"/>
      <c r="AN45" s="63"/>
      <c r="AO45" s="63"/>
      <c r="AP45" s="63"/>
      <c r="AQ45" s="63"/>
      <c r="AR45" s="63"/>
      <c r="AS45" s="63"/>
      <c r="AT45" s="63"/>
      <c r="AU45" s="63"/>
      <c r="AV45" s="63"/>
      <c r="AW45" s="63"/>
      <c r="AX45" s="63"/>
      <c r="AY45" s="63"/>
      <c r="AZ45" s="63"/>
      <c r="BA45" s="63"/>
      <c r="BB45" s="63"/>
      <c r="BC45" s="63"/>
      <c r="BD45" s="63"/>
      <c r="BE45" s="63"/>
      <c r="BF45" s="63"/>
      <c r="BG45" s="63"/>
      <c r="BH45" s="63"/>
      <c r="BI45" s="63"/>
      <c r="BJ45" s="63"/>
    </row>
    <row r="46" spans="1:62" x14ac:dyDescent="0.2">
      <c r="A46" s="42"/>
      <c r="B46" s="43" t="s">
        <v>101</v>
      </c>
      <c r="C46" s="61"/>
      <c r="D46" s="62"/>
      <c r="E46" s="61"/>
      <c r="F46" s="63"/>
      <c r="G46" s="63"/>
      <c r="H46" s="63"/>
      <c r="I46" s="63"/>
      <c r="J46" s="63"/>
      <c r="K46" s="63"/>
      <c r="L46" s="63"/>
      <c r="M46" s="63">
        <v>800</v>
      </c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  <c r="AA46" s="63"/>
      <c r="AB46" s="63"/>
      <c r="AC46" s="63"/>
      <c r="AD46" s="63"/>
      <c r="AE46" s="63"/>
      <c r="AF46" s="63"/>
      <c r="AG46" s="63"/>
      <c r="AH46" s="63"/>
      <c r="AI46" s="63"/>
      <c r="AJ46" s="63"/>
      <c r="AK46" s="63"/>
      <c r="AL46" s="63"/>
      <c r="AM46" s="63"/>
      <c r="AN46" s="63"/>
      <c r="AO46" s="63"/>
      <c r="AP46" s="63"/>
      <c r="AQ46" s="63"/>
      <c r="AR46" s="63"/>
      <c r="AS46" s="63"/>
      <c r="AT46" s="63"/>
      <c r="AU46" s="63"/>
      <c r="AV46" s="63"/>
      <c r="AW46" s="63"/>
      <c r="AX46" s="63"/>
      <c r="AY46" s="63"/>
      <c r="AZ46" s="63"/>
      <c r="BA46" s="63"/>
      <c r="BB46" s="63"/>
      <c r="BC46" s="63"/>
      <c r="BD46" s="63"/>
      <c r="BE46" s="63"/>
      <c r="BF46" s="63"/>
      <c r="BG46" s="63"/>
      <c r="BH46" s="63"/>
      <c r="BI46" s="63"/>
      <c r="BJ46" s="63"/>
    </row>
    <row r="47" spans="1:62" x14ac:dyDescent="0.2">
      <c r="A47" s="42"/>
      <c r="B47" s="43" t="s">
        <v>102</v>
      </c>
      <c r="C47" s="61"/>
      <c r="D47" s="62"/>
      <c r="E47" s="61"/>
      <c r="F47" s="63"/>
      <c r="G47" s="63"/>
      <c r="H47" s="63"/>
      <c r="I47" s="63"/>
      <c r="J47" s="63"/>
      <c r="K47" s="63"/>
      <c r="L47" s="63"/>
      <c r="M47" s="63">
        <v>700</v>
      </c>
      <c r="N47" s="63"/>
      <c r="O47" s="63"/>
      <c r="P47" s="63"/>
      <c r="Q47" s="63"/>
      <c r="R47" s="63"/>
      <c r="S47" s="63"/>
      <c r="T47" s="63"/>
      <c r="U47" s="63"/>
      <c r="V47" s="63"/>
      <c r="W47" s="63"/>
      <c r="X47" s="63"/>
      <c r="Y47" s="63"/>
      <c r="Z47" s="63"/>
      <c r="AA47" s="63"/>
      <c r="AB47" s="63"/>
      <c r="AC47" s="63"/>
      <c r="AD47" s="63"/>
      <c r="AE47" s="63"/>
      <c r="AF47" s="63"/>
      <c r="AG47" s="63"/>
      <c r="AH47" s="63"/>
      <c r="AI47" s="63"/>
      <c r="AJ47" s="63"/>
      <c r="AK47" s="63"/>
      <c r="AL47" s="63"/>
      <c r="AM47" s="63"/>
      <c r="AN47" s="63"/>
      <c r="AO47" s="63"/>
      <c r="AP47" s="63"/>
      <c r="AQ47" s="63"/>
      <c r="AR47" s="63"/>
      <c r="AS47" s="63"/>
      <c r="AT47" s="63"/>
      <c r="AU47" s="63"/>
      <c r="AV47" s="63"/>
      <c r="AW47" s="63"/>
      <c r="AX47" s="63"/>
      <c r="AY47" s="63"/>
      <c r="AZ47" s="63"/>
      <c r="BA47" s="63"/>
      <c r="BB47" s="63"/>
      <c r="BC47" s="63"/>
      <c r="BD47" s="63"/>
      <c r="BE47" s="63"/>
      <c r="BF47" s="63"/>
      <c r="BG47" s="63"/>
      <c r="BH47" s="63"/>
      <c r="BI47" s="63"/>
      <c r="BJ47" s="63"/>
    </row>
    <row r="48" spans="1:62" x14ac:dyDescent="0.2">
      <c r="A48" s="42"/>
      <c r="B48" s="43" t="s">
        <v>103</v>
      </c>
      <c r="C48" s="61"/>
      <c r="D48" s="62"/>
      <c r="E48" s="61"/>
      <c r="F48" s="63"/>
      <c r="G48" s="63"/>
      <c r="H48" s="63"/>
      <c r="I48" s="63"/>
      <c r="J48" s="63"/>
      <c r="K48" s="63"/>
      <c r="L48" s="63"/>
      <c r="M48" s="63">
        <v>600</v>
      </c>
      <c r="N48" s="63"/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3"/>
      <c r="Z48" s="63"/>
      <c r="AA48" s="63"/>
      <c r="AB48" s="63"/>
      <c r="AC48" s="63"/>
      <c r="AD48" s="63"/>
      <c r="AE48" s="63"/>
      <c r="AF48" s="63"/>
      <c r="AG48" s="63"/>
      <c r="AH48" s="63"/>
      <c r="AI48" s="63"/>
      <c r="AJ48" s="63"/>
      <c r="AK48" s="63"/>
      <c r="AL48" s="63"/>
      <c r="AM48" s="63"/>
      <c r="AN48" s="63"/>
      <c r="AO48" s="63"/>
      <c r="AP48" s="63"/>
      <c r="AQ48" s="63"/>
      <c r="AR48" s="63"/>
      <c r="AS48" s="63"/>
      <c r="AT48" s="63"/>
      <c r="AU48" s="63"/>
      <c r="AV48" s="63"/>
      <c r="AW48" s="63"/>
      <c r="AX48" s="63"/>
      <c r="AY48" s="63"/>
      <c r="AZ48" s="63"/>
      <c r="BA48" s="63"/>
      <c r="BB48" s="63"/>
      <c r="BC48" s="63"/>
      <c r="BD48" s="63"/>
      <c r="BE48" s="63"/>
      <c r="BF48" s="63"/>
      <c r="BG48" s="63"/>
      <c r="BH48" s="63"/>
      <c r="BI48" s="63"/>
      <c r="BJ48" s="63"/>
    </row>
    <row r="49" spans="1:62" x14ac:dyDescent="0.2">
      <c r="A49" s="42"/>
      <c r="B49" s="43" t="s">
        <v>104</v>
      </c>
      <c r="C49" s="61"/>
      <c r="D49" s="62"/>
      <c r="E49" s="61"/>
      <c r="F49" s="63"/>
      <c r="G49" s="63"/>
      <c r="H49" s="63"/>
      <c r="I49" s="63"/>
      <c r="J49" s="63"/>
      <c r="K49" s="63"/>
      <c r="L49" s="63"/>
      <c r="M49" s="63"/>
      <c r="N49" s="63">
        <v>500</v>
      </c>
      <c r="O49" s="63"/>
      <c r="P49" s="63"/>
      <c r="Q49" s="63"/>
      <c r="R49" s="63"/>
      <c r="S49" s="63"/>
      <c r="T49" s="63"/>
      <c r="U49" s="63"/>
      <c r="V49" s="63"/>
      <c r="W49" s="63"/>
      <c r="X49" s="63"/>
      <c r="Y49" s="63"/>
      <c r="Z49" s="63"/>
      <c r="AA49" s="63"/>
      <c r="AB49" s="63"/>
      <c r="AC49" s="63"/>
      <c r="AD49" s="63"/>
      <c r="AE49" s="63"/>
      <c r="AF49" s="63"/>
      <c r="AG49" s="63"/>
      <c r="AH49" s="63"/>
      <c r="AI49" s="63"/>
      <c r="AJ49" s="63"/>
      <c r="AK49" s="63"/>
      <c r="AL49" s="63"/>
      <c r="AM49" s="63"/>
      <c r="AN49" s="63"/>
      <c r="AO49" s="63"/>
      <c r="AP49" s="63"/>
      <c r="AQ49" s="63"/>
      <c r="AR49" s="63"/>
      <c r="AS49" s="63"/>
      <c r="AT49" s="63"/>
      <c r="AU49" s="63"/>
      <c r="AV49" s="63"/>
      <c r="AW49" s="63"/>
      <c r="AX49" s="63"/>
      <c r="AY49" s="63"/>
      <c r="AZ49" s="63"/>
      <c r="BA49" s="63"/>
      <c r="BB49" s="63"/>
      <c r="BC49" s="63"/>
      <c r="BD49" s="63"/>
      <c r="BE49" s="63"/>
      <c r="BF49" s="63"/>
      <c r="BG49" s="63"/>
      <c r="BH49" s="63"/>
      <c r="BI49" s="63"/>
      <c r="BJ49" s="63"/>
    </row>
    <row r="50" spans="1:62" x14ac:dyDescent="0.2">
      <c r="A50" s="42"/>
      <c r="B50" s="43" t="s">
        <v>105</v>
      </c>
      <c r="C50" s="61"/>
      <c r="D50" s="62"/>
      <c r="E50" s="61"/>
      <c r="F50" s="63"/>
      <c r="G50" s="63"/>
      <c r="H50" s="63"/>
      <c r="I50" s="63"/>
      <c r="J50" s="63"/>
      <c r="K50" s="63"/>
      <c r="L50" s="63"/>
      <c r="M50" s="63"/>
      <c r="N50" s="63">
        <v>250</v>
      </c>
      <c r="O50" s="63"/>
      <c r="P50" s="63"/>
      <c r="Q50" s="63"/>
      <c r="R50" s="63"/>
      <c r="S50" s="63"/>
      <c r="T50" s="63"/>
      <c r="U50" s="63"/>
      <c r="V50" s="63"/>
      <c r="W50" s="63"/>
      <c r="X50" s="63"/>
      <c r="Y50" s="63"/>
      <c r="Z50" s="63"/>
      <c r="AA50" s="63"/>
      <c r="AB50" s="63"/>
      <c r="AC50" s="63"/>
      <c r="AD50" s="63"/>
      <c r="AE50" s="63"/>
      <c r="AF50" s="63"/>
      <c r="AG50" s="63"/>
      <c r="AH50" s="63"/>
      <c r="AI50" s="63"/>
      <c r="AJ50" s="63"/>
      <c r="AK50" s="63"/>
      <c r="AL50" s="63"/>
      <c r="AM50" s="63"/>
      <c r="AN50" s="63"/>
      <c r="AO50" s="63"/>
      <c r="AP50" s="63"/>
      <c r="AQ50" s="63"/>
      <c r="AR50" s="63"/>
      <c r="AS50" s="63"/>
      <c r="AT50" s="63"/>
      <c r="AU50" s="63"/>
      <c r="AV50" s="63"/>
      <c r="AW50" s="63"/>
      <c r="AX50" s="63"/>
      <c r="AY50" s="63"/>
      <c r="AZ50" s="63"/>
      <c r="BA50" s="63"/>
      <c r="BB50" s="63"/>
      <c r="BC50" s="63"/>
      <c r="BD50" s="63"/>
      <c r="BE50" s="63"/>
      <c r="BF50" s="63"/>
      <c r="BG50" s="63"/>
      <c r="BH50" s="63"/>
      <c r="BI50" s="63"/>
      <c r="BJ50" s="63"/>
    </row>
    <row r="51" spans="1:62" x14ac:dyDescent="0.2">
      <c r="A51" s="42"/>
      <c r="B51" s="43" t="s">
        <v>106</v>
      </c>
      <c r="C51" s="61"/>
      <c r="D51" s="62"/>
      <c r="E51" s="61"/>
      <c r="F51" s="63"/>
      <c r="G51" s="63"/>
      <c r="H51" s="63"/>
      <c r="I51" s="63"/>
      <c r="J51" s="63"/>
      <c r="K51" s="63"/>
      <c r="L51" s="63"/>
      <c r="M51" s="63"/>
      <c r="N51" s="63">
        <v>150</v>
      </c>
      <c r="O51" s="63"/>
      <c r="P51" s="63"/>
      <c r="Q51" s="63"/>
      <c r="R51" s="63"/>
      <c r="S51" s="63"/>
      <c r="T51" s="63"/>
      <c r="U51" s="63"/>
      <c r="V51" s="63"/>
      <c r="W51" s="63"/>
      <c r="X51" s="63"/>
      <c r="Y51" s="63"/>
      <c r="Z51" s="63"/>
      <c r="AA51" s="63"/>
      <c r="AB51" s="63"/>
      <c r="AC51" s="63"/>
      <c r="AD51" s="63"/>
      <c r="AE51" s="63"/>
      <c r="AF51" s="63"/>
      <c r="AG51" s="63"/>
      <c r="AH51" s="63"/>
      <c r="AI51" s="63"/>
      <c r="AJ51" s="63"/>
      <c r="AK51" s="63"/>
      <c r="AL51" s="63"/>
      <c r="AM51" s="63"/>
      <c r="AN51" s="63"/>
      <c r="AO51" s="63"/>
      <c r="AP51" s="63"/>
      <c r="AQ51" s="63"/>
      <c r="AR51" s="63"/>
      <c r="AS51" s="63"/>
      <c r="AT51" s="63"/>
      <c r="AU51" s="63"/>
      <c r="AV51" s="63"/>
      <c r="AW51" s="63"/>
      <c r="AX51" s="63"/>
      <c r="AY51" s="63"/>
      <c r="AZ51" s="63"/>
      <c r="BA51" s="63"/>
      <c r="BB51" s="63"/>
      <c r="BC51" s="63"/>
      <c r="BD51" s="63"/>
      <c r="BE51" s="63"/>
      <c r="BF51" s="63"/>
      <c r="BG51" s="63"/>
      <c r="BH51" s="63"/>
      <c r="BI51" s="63"/>
      <c r="BJ51" s="63"/>
    </row>
    <row r="52" spans="1:62" x14ac:dyDescent="0.2">
      <c r="B52" s="37" t="s">
        <v>54</v>
      </c>
      <c r="C52" s="67">
        <f>SUM(C10:C51)</f>
        <v>2000</v>
      </c>
      <c r="D52" s="67">
        <f t="shared" ref="D52:I52" si="0">SUM(D10:D40)</f>
        <v>2000</v>
      </c>
      <c r="E52" s="67">
        <f t="shared" si="0"/>
        <v>3400</v>
      </c>
      <c r="F52" s="67">
        <f t="shared" si="0"/>
        <v>2600</v>
      </c>
      <c r="G52" s="67">
        <f t="shared" si="0"/>
        <v>4300</v>
      </c>
      <c r="H52" s="67">
        <f t="shared" si="0"/>
        <v>4700</v>
      </c>
      <c r="I52" s="67">
        <f t="shared" si="0"/>
        <v>4500</v>
      </c>
      <c r="J52" s="67">
        <f>SUM(J10:J51)</f>
        <v>3500</v>
      </c>
      <c r="K52" s="67">
        <f>SUM(K10:K51)</f>
        <v>3000</v>
      </c>
      <c r="L52" s="67">
        <f>SUM(L10:L51)</f>
        <v>2000</v>
      </c>
      <c r="M52" s="67">
        <f>SUM(M10:M51)</f>
        <v>2100</v>
      </c>
      <c r="N52" s="67">
        <f>SUM(N10:N51)</f>
        <v>900</v>
      </c>
      <c r="O52" s="67">
        <f t="shared" ref="O52:BJ52" si="1">SUM(O10:O40)</f>
        <v>0</v>
      </c>
      <c r="P52" s="67">
        <f t="shared" si="1"/>
        <v>0</v>
      </c>
      <c r="Q52" s="67">
        <f t="shared" si="1"/>
        <v>0</v>
      </c>
      <c r="R52" s="67">
        <f t="shared" si="1"/>
        <v>0</v>
      </c>
      <c r="S52" s="67">
        <f t="shared" si="1"/>
        <v>0</v>
      </c>
      <c r="T52" s="67">
        <f t="shared" si="1"/>
        <v>0</v>
      </c>
      <c r="U52" s="67">
        <f t="shared" si="1"/>
        <v>0</v>
      </c>
      <c r="V52" s="67">
        <f t="shared" si="1"/>
        <v>0</v>
      </c>
      <c r="W52" s="67">
        <f t="shared" si="1"/>
        <v>0</v>
      </c>
      <c r="X52" s="67">
        <f t="shared" si="1"/>
        <v>0</v>
      </c>
      <c r="Y52" s="67">
        <f t="shared" si="1"/>
        <v>0</v>
      </c>
      <c r="Z52" s="67">
        <f t="shared" si="1"/>
        <v>0</v>
      </c>
      <c r="AA52" s="67">
        <f t="shared" si="1"/>
        <v>0</v>
      </c>
      <c r="AB52" s="67">
        <f t="shared" si="1"/>
        <v>0</v>
      </c>
      <c r="AC52" s="67">
        <f t="shared" si="1"/>
        <v>0</v>
      </c>
      <c r="AD52" s="67">
        <f t="shared" si="1"/>
        <v>0</v>
      </c>
      <c r="AE52" s="67">
        <f t="shared" si="1"/>
        <v>0</v>
      </c>
      <c r="AF52" s="67">
        <f t="shared" si="1"/>
        <v>0</v>
      </c>
      <c r="AG52" s="67">
        <f t="shared" si="1"/>
        <v>0</v>
      </c>
      <c r="AH52" s="67">
        <f t="shared" si="1"/>
        <v>0</v>
      </c>
      <c r="AI52" s="67">
        <f t="shared" si="1"/>
        <v>0</v>
      </c>
      <c r="AJ52" s="67">
        <f t="shared" si="1"/>
        <v>0</v>
      </c>
      <c r="AK52" s="67">
        <f t="shared" si="1"/>
        <v>0</v>
      </c>
      <c r="AL52" s="67">
        <f t="shared" si="1"/>
        <v>0</v>
      </c>
      <c r="AM52" s="67">
        <f t="shared" si="1"/>
        <v>0</v>
      </c>
      <c r="AN52" s="67">
        <f t="shared" si="1"/>
        <v>0</v>
      </c>
      <c r="AO52" s="67">
        <f t="shared" si="1"/>
        <v>0</v>
      </c>
      <c r="AP52" s="67">
        <f t="shared" si="1"/>
        <v>0</v>
      </c>
      <c r="AQ52" s="67">
        <f t="shared" si="1"/>
        <v>0</v>
      </c>
      <c r="AR52" s="67">
        <f t="shared" si="1"/>
        <v>0</v>
      </c>
      <c r="AS52" s="67">
        <f t="shared" si="1"/>
        <v>0</v>
      </c>
      <c r="AT52" s="67">
        <f t="shared" si="1"/>
        <v>0</v>
      </c>
      <c r="AU52" s="67">
        <f t="shared" si="1"/>
        <v>0</v>
      </c>
      <c r="AV52" s="67">
        <f t="shared" si="1"/>
        <v>0</v>
      </c>
      <c r="AW52" s="67">
        <f t="shared" si="1"/>
        <v>0</v>
      </c>
      <c r="AX52" s="67">
        <f t="shared" si="1"/>
        <v>0</v>
      </c>
      <c r="AY52" s="67">
        <f t="shared" si="1"/>
        <v>0</v>
      </c>
      <c r="AZ52" s="67">
        <f t="shared" si="1"/>
        <v>0</v>
      </c>
      <c r="BA52" s="67">
        <f t="shared" si="1"/>
        <v>0</v>
      </c>
      <c r="BB52" s="67">
        <f t="shared" si="1"/>
        <v>0</v>
      </c>
      <c r="BC52" s="67">
        <f t="shared" si="1"/>
        <v>0</v>
      </c>
      <c r="BD52" s="67">
        <f t="shared" si="1"/>
        <v>0</v>
      </c>
      <c r="BE52" s="67">
        <f t="shared" si="1"/>
        <v>0</v>
      </c>
      <c r="BF52" s="67">
        <f t="shared" si="1"/>
        <v>0</v>
      </c>
      <c r="BG52" s="67">
        <f t="shared" si="1"/>
        <v>0</v>
      </c>
      <c r="BH52" s="67">
        <f t="shared" si="1"/>
        <v>0</v>
      </c>
      <c r="BI52" s="67">
        <f t="shared" si="1"/>
        <v>0</v>
      </c>
      <c r="BJ52" s="67">
        <f t="shared" si="1"/>
        <v>0</v>
      </c>
    </row>
    <row r="53" spans="1:62" x14ac:dyDescent="0.2">
      <c r="B53" s="68">
        <f>SUM(C52:N52)</f>
        <v>35000</v>
      </c>
    </row>
    <row r="54" spans="1:62" x14ac:dyDescent="0.2">
      <c r="E54" s="47"/>
      <c r="F54" s="47"/>
    </row>
  </sheetData>
  <mergeCells count="5">
    <mergeCell ref="A6:D6"/>
    <mergeCell ref="A8:B8"/>
    <mergeCell ref="A19:B19"/>
    <mergeCell ref="A28:B28"/>
    <mergeCell ref="A9:B9"/>
  </mergeCells>
  <phoneticPr fontId="11" type="noConversion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O44"/>
  <sheetViews>
    <sheetView showGridLines="0" topLeftCell="A3" zoomScale="61" zoomScaleNormal="90" workbookViewId="0">
      <selection activeCell="D18" sqref="D18"/>
    </sheetView>
  </sheetViews>
  <sheetFormatPr defaultColWidth="11.43359375" defaultRowHeight="15" x14ac:dyDescent="0.2"/>
  <cols>
    <col min="2" max="2" width="3.359375" customWidth="1"/>
    <col min="3" max="3" width="44.66015625" bestFit="1" customWidth="1"/>
    <col min="4" max="4" width="16.6796875" customWidth="1"/>
    <col min="5" max="5" width="16.140625" bestFit="1" customWidth="1"/>
    <col min="6" max="6" width="17.484375" customWidth="1"/>
    <col min="7" max="8" width="14.796875" bestFit="1" customWidth="1"/>
    <col min="9" max="9" width="14.52734375" bestFit="1" customWidth="1"/>
    <col min="10" max="10" width="16.54296875" bestFit="1" customWidth="1"/>
    <col min="11" max="11" width="14.52734375" bestFit="1" customWidth="1"/>
    <col min="12" max="12" width="16.54296875" bestFit="1" customWidth="1"/>
    <col min="13" max="14" width="15.46875" bestFit="1" customWidth="1"/>
    <col min="15" max="15" width="16.6796875" customWidth="1"/>
    <col min="16" max="16" width="3.359375" customWidth="1"/>
  </cols>
  <sheetData>
    <row r="1" spans="2:15" ht="15.75" thickBot="1" x14ac:dyDescent="0.25"/>
    <row r="2" spans="2:15" ht="15.75" thickTop="1" x14ac:dyDescent="0.2"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4"/>
    </row>
    <row r="3" spans="2:15" x14ac:dyDescent="0.2">
      <c r="B3" s="5"/>
      <c r="O3" s="6"/>
    </row>
    <row r="4" spans="2:15" x14ac:dyDescent="0.2">
      <c r="B4" s="5"/>
      <c r="O4" s="6"/>
    </row>
    <row r="5" spans="2:15" x14ac:dyDescent="0.2">
      <c r="B5" s="5"/>
      <c r="O5" s="6"/>
    </row>
    <row r="6" spans="2:15" x14ac:dyDescent="0.2">
      <c r="B6" s="5"/>
      <c r="O6" s="6"/>
    </row>
    <row r="7" spans="2:15" ht="21" x14ac:dyDescent="0.3">
      <c r="B7" s="5"/>
      <c r="C7" s="71" t="s">
        <v>22</v>
      </c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2"/>
    </row>
    <row r="8" spans="2:15" x14ac:dyDescent="0.2">
      <c r="B8" s="5"/>
      <c r="O8" s="6"/>
    </row>
    <row r="9" spans="2:15" x14ac:dyDescent="0.2">
      <c r="B9" s="5"/>
      <c r="C9" s="21" t="s">
        <v>14</v>
      </c>
      <c r="D9" s="18" t="s">
        <v>23</v>
      </c>
      <c r="E9" s="19"/>
      <c r="F9" s="19"/>
      <c r="G9" s="19"/>
      <c r="H9" s="19"/>
      <c r="I9" s="19"/>
      <c r="J9" s="19"/>
      <c r="K9" s="19"/>
      <c r="L9" s="19"/>
      <c r="M9" s="19"/>
      <c r="N9" s="19"/>
      <c r="O9" s="20"/>
    </row>
    <row r="10" spans="2:15" x14ac:dyDescent="0.2">
      <c r="B10" s="5"/>
      <c r="C10" s="21" t="s">
        <v>15</v>
      </c>
      <c r="D10" s="83" t="s">
        <v>24</v>
      </c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5"/>
    </row>
    <row r="11" spans="2:15" x14ac:dyDescent="0.2">
      <c r="B11" s="5"/>
      <c r="C11" s="21" t="s">
        <v>18</v>
      </c>
      <c r="D11" s="86" t="s">
        <v>26</v>
      </c>
      <c r="E11" s="87"/>
      <c r="F11" s="88" t="s">
        <v>19</v>
      </c>
      <c r="G11" s="89"/>
      <c r="H11" s="83" t="s">
        <v>25</v>
      </c>
      <c r="I11" s="84"/>
      <c r="J11" s="90"/>
      <c r="K11" s="88" t="s">
        <v>16</v>
      </c>
      <c r="L11" s="89"/>
      <c r="M11" s="86" t="s">
        <v>27</v>
      </c>
      <c r="N11" s="91"/>
      <c r="O11" s="92"/>
    </row>
    <row r="12" spans="2:15" x14ac:dyDescent="0.2">
      <c r="B12" s="5"/>
      <c r="C12" s="12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5"/>
    </row>
    <row r="13" spans="2:15" x14ac:dyDescent="0.2">
      <c r="B13" s="5"/>
      <c r="C13" s="22"/>
      <c r="D13" s="69" t="s">
        <v>55</v>
      </c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70"/>
    </row>
    <row r="14" spans="2:15" x14ac:dyDescent="0.2">
      <c r="B14" s="5"/>
      <c r="C14" s="23"/>
      <c r="D14" s="24">
        <v>1</v>
      </c>
      <c r="E14" s="24">
        <v>2</v>
      </c>
      <c r="F14" s="24">
        <v>3</v>
      </c>
      <c r="G14" s="24">
        <v>4</v>
      </c>
      <c r="H14" s="24">
        <v>5</v>
      </c>
      <c r="I14" s="24">
        <v>6</v>
      </c>
      <c r="J14" s="24">
        <v>7</v>
      </c>
      <c r="K14" s="24">
        <v>8</v>
      </c>
      <c r="L14" s="24">
        <v>9</v>
      </c>
      <c r="M14" s="24">
        <v>10</v>
      </c>
      <c r="N14" s="24">
        <v>11</v>
      </c>
      <c r="O14" s="24">
        <v>12</v>
      </c>
    </row>
    <row r="15" spans="2:15" x14ac:dyDescent="0.2">
      <c r="B15" s="5"/>
      <c r="C15" s="21" t="s">
        <v>12</v>
      </c>
      <c r="D15" s="1">
        <f>'Detalle de Costos'!C52</f>
        <v>2000</v>
      </c>
      <c r="E15" s="1">
        <f>'Detalle de Costos'!D52</f>
        <v>2000</v>
      </c>
      <c r="F15" s="1">
        <f>'Detalle de Costos'!E52</f>
        <v>3400</v>
      </c>
      <c r="G15" s="1">
        <f>'Detalle de Costos'!F52</f>
        <v>2600</v>
      </c>
      <c r="H15" s="1">
        <f>'Detalle de Costos'!G52</f>
        <v>4300</v>
      </c>
      <c r="I15" s="1">
        <f>'Detalle de Costos'!H52</f>
        <v>4700</v>
      </c>
      <c r="J15" s="1">
        <f>'Detalle de Costos'!I52</f>
        <v>4500</v>
      </c>
      <c r="K15" s="1">
        <f>'Detalle de Costos'!J52</f>
        <v>3500</v>
      </c>
      <c r="L15" s="1">
        <f>'Detalle de Costos'!K52</f>
        <v>3000</v>
      </c>
      <c r="M15" s="1">
        <f>'Detalle de Costos'!L52</f>
        <v>2000</v>
      </c>
      <c r="N15" s="1">
        <f>'Detalle de Costos'!M52</f>
        <v>2100</v>
      </c>
      <c r="O15" s="1">
        <f>'Detalle de Costos'!N52</f>
        <v>900</v>
      </c>
    </row>
    <row r="16" spans="2:15" x14ac:dyDescent="0.2">
      <c r="B16" s="5"/>
      <c r="C16" s="21" t="s">
        <v>20</v>
      </c>
      <c r="D16" s="17">
        <f>D15</f>
        <v>2000</v>
      </c>
      <c r="E16" s="1">
        <f>E15+D16</f>
        <v>4000</v>
      </c>
      <c r="F16" s="1">
        <f t="shared" ref="F16:O16" si="0">F15+E16</f>
        <v>7400</v>
      </c>
      <c r="G16" s="1">
        <f t="shared" si="0"/>
        <v>10000</v>
      </c>
      <c r="H16" s="1">
        <f t="shared" si="0"/>
        <v>14300</v>
      </c>
      <c r="I16" s="1">
        <f t="shared" si="0"/>
        <v>19000</v>
      </c>
      <c r="J16" s="1">
        <f t="shared" si="0"/>
        <v>23500</v>
      </c>
      <c r="K16" s="1">
        <f t="shared" si="0"/>
        <v>27000</v>
      </c>
      <c r="L16" s="1">
        <f t="shared" si="0"/>
        <v>30000</v>
      </c>
      <c r="M16" s="1">
        <f t="shared" si="0"/>
        <v>32000</v>
      </c>
      <c r="N16" s="1">
        <f t="shared" si="0"/>
        <v>34100</v>
      </c>
      <c r="O16" s="1">
        <f t="shared" si="0"/>
        <v>35000</v>
      </c>
    </row>
    <row r="17" spans="2:15" x14ac:dyDescent="0.2">
      <c r="B17" s="5"/>
      <c r="C17" s="21" t="s">
        <v>13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6"/>
    </row>
    <row r="18" spans="2:15" x14ac:dyDescent="0.2">
      <c r="B18" s="5"/>
      <c r="C18" s="21" t="s">
        <v>21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6"/>
    </row>
    <row r="19" spans="2:15" x14ac:dyDescent="0.2">
      <c r="B19" s="5"/>
      <c r="O19" s="6"/>
    </row>
    <row r="20" spans="2:15" x14ac:dyDescent="0.2">
      <c r="B20" s="5"/>
      <c r="O20" s="6"/>
    </row>
    <row r="21" spans="2:15" x14ac:dyDescent="0.2">
      <c r="B21" s="5"/>
      <c r="C21" s="7"/>
      <c r="D21" s="13"/>
      <c r="E21" s="14"/>
      <c r="O21" s="6"/>
    </row>
    <row r="22" spans="2:15" x14ac:dyDescent="0.2">
      <c r="B22" s="5"/>
      <c r="O22" s="6"/>
    </row>
    <row r="23" spans="2:15" x14ac:dyDescent="0.2">
      <c r="B23" s="5"/>
      <c r="O23" s="6"/>
    </row>
    <row r="24" spans="2:15" x14ac:dyDescent="0.2">
      <c r="B24" s="5"/>
      <c r="O24" s="6"/>
    </row>
    <row r="25" spans="2:15" x14ac:dyDescent="0.2">
      <c r="B25" s="5"/>
      <c r="O25" s="6"/>
    </row>
    <row r="26" spans="2:15" x14ac:dyDescent="0.2">
      <c r="B26" s="5"/>
      <c r="O26" s="6"/>
    </row>
    <row r="27" spans="2:15" x14ac:dyDescent="0.2">
      <c r="B27" s="5"/>
      <c r="O27" s="6"/>
    </row>
    <row r="28" spans="2:15" x14ac:dyDescent="0.2">
      <c r="B28" s="5"/>
      <c r="O28" s="6"/>
    </row>
    <row r="29" spans="2:15" x14ac:dyDescent="0.2">
      <c r="B29" s="5"/>
      <c r="O29" s="6"/>
    </row>
    <row r="30" spans="2:15" x14ac:dyDescent="0.2">
      <c r="B30" s="5"/>
      <c r="O30" s="6"/>
    </row>
    <row r="31" spans="2:15" x14ac:dyDescent="0.2">
      <c r="B31" s="5"/>
      <c r="O31" s="6"/>
    </row>
    <row r="32" spans="2:15" x14ac:dyDescent="0.2">
      <c r="B32" s="5"/>
      <c r="O32" s="6"/>
    </row>
    <row r="33" spans="2:15" x14ac:dyDescent="0.2">
      <c r="B33" s="5"/>
      <c r="O33" s="6"/>
    </row>
    <row r="34" spans="2:15" x14ac:dyDescent="0.2">
      <c r="B34" s="5"/>
      <c r="O34" s="6"/>
    </row>
    <row r="35" spans="2:15" x14ac:dyDescent="0.2">
      <c r="B35" s="5"/>
      <c r="O35" s="6"/>
    </row>
    <row r="36" spans="2:15" x14ac:dyDescent="0.2">
      <c r="B36" s="5"/>
      <c r="O36" s="6"/>
    </row>
    <row r="37" spans="2:15" x14ac:dyDescent="0.2">
      <c r="B37" s="5"/>
      <c r="O37" s="6"/>
    </row>
    <row r="38" spans="2:15" x14ac:dyDescent="0.2">
      <c r="B38" s="5"/>
      <c r="O38" s="6"/>
    </row>
    <row r="39" spans="2:15" x14ac:dyDescent="0.2">
      <c r="B39" s="5"/>
      <c r="O39" s="6"/>
    </row>
    <row r="40" spans="2:15" x14ac:dyDescent="0.2">
      <c r="B40" s="5"/>
      <c r="O40" s="6"/>
    </row>
    <row r="41" spans="2:15" x14ac:dyDescent="0.2">
      <c r="B41" s="5"/>
      <c r="O41" s="6"/>
    </row>
    <row r="42" spans="2:15" x14ac:dyDescent="0.2">
      <c r="B42" s="5"/>
      <c r="O42" s="6"/>
    </row>
    <row r="43" spans="2:15" ht="15.75" thickBot="1" x14ac:dyDescent="0.25">
      <c r="B43" s="8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10"/>
    </row>
    <row r="44" spans="2:15" ht="15.75" thickTop="1" x14ac:dyDescent="0.2"/>
  </sheetData>
  <mergeCells count="8">
    <mergeCell ref="D13:O13"/>
    <mergeCell ref="C7:O7"/>
    <mergeCell ref="D10:O10"/>
    <mergeCell ref="D11:E11"/>
    <mergeCell ref="F11:G11"/>
    <mergeCell ref="H11:J11"/>
    <mergeCell ref="K11:L11"/>
    <mergeCell ref="M11:O11"/>
  </mergeCells>
  <phoneticPr fontId="11" type="noConversion"/>
  <pageMargins left="0.7" right="0.7" top="0.75" bottom="0.75" header="0.3" footer="0.3"/>
  <pageSetup scale="32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O44"/>
  <sheetViews>
    <sheetView showGridLines="0" tabSelected="1" topLeftCell="B9" zoomScale="79" zoomScaleNormal="90" workbookViewId="0">
      <selection activeCell="J17" sqref="J17"/>
    </sheetView>
  </sheetViews>
  <sheetFormatPr defaultColWidth="11.43359375" defaultRowHeight="15" x14ac:dyDescent="0.2"/>
  <cols>
    <col min="2" max="2" width="3.359375" customWidth="1"/>
    <col min="3" max="3" width="44.66015625" bestFit="1" customWidth="1"/>
    <col min="4" max="4" width="20.04296875" customWidth="1"/>
    <col min="5" max="5" width="16.140625" bestFit="1" customWidth="1"/>
    <col min="6" max="6" width="17.484375" customWidth="1"/>
    <col min="7" max="8" width="14.796875" bestFit="1" customWidth="1"/>
    <col min="9" max="9" width="14.52734375" bestFit="1" customWidth="1"/>
    <col min="10" max="10" width="16.54296875" bestFit="1" customWidth="1"/>
    <col min="11" max="11" width="14.52734375" bestFit="1" customWidth="1"/>
    <col min="12" max="12" width="16.54296875" bestFit="1" customWidth="1"/>
    <col min="13" max="14" width="15.46875" bestFit="1" customWidth="1"/>
    <col min="15" max="15" width="16.140625" bestFit="1" customWidth="1"/>
    <col min="16" max="16" width="3.359375" customWidth="1"/>
  </cols>
  <sheetData>
    <row r="1" spans="2:15" ht="15.75" thickBot="1" x14ac:dyDescent="0.25"/>
    <row r="2" spans="2:15" ht="15.75" thickTop="1" x14ac:dyDescent="0.2"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4"/>
    </row>
    <row r="3" spans="2:15" x14ac:dyDescent="0.2">
      <c r="B3" s="5"/>
      <c r="O3" s="6"/>
    </row>
    <row r="4" spans="2:15" x14ac:dyDescent="0.2">
      <c r="B4" s="5"/>
      <c r="O4" s="6"/>
    </row>
    <row r="5" spans="2:15" x14ac:dyDescent="0.2">
      <c r="B5" s="5"/>
      <c r="O5" s="6"/>
    </row>
    <row r="6" spans="2:15" x14ac:dyDescent="0.2">
      <c r="B6" s="5"/>
      <c r="O6" s="6"/>
    </row>
    <row r="7" spans="2:15" ht="21" x14ac:dyDescent="0.3">
      <c r="B7" s="5"/>
      <c r="C7" s="71" t="s">
        <v>22</v>
      </c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2"/>
    </row>
    <row r="8" spans="2:15" x14ac:dyDescent="0.2">
      <c r="B8" s="5"/>
      <c r="O8" s="6"/>
    </row>
    <row r="9" spans="2:15" x14ac:dyDescent="0.2">
      <c r="B9" s="5"/>
      <c r="C9" s="21" t="s">
        <v>14</v>
      </c>
      <c r="D9" s="73" t="s">
        <v>29</v>
      </c>
      <c r="E9" s="73"/>
      <c r="F9" s="73"/>
      <c r="G9" s="73"/>
      <c r="H9" s="73"/>
      <c r="I9" s="73"/>
      <c r="J9" s="73"/>
      <c r="K9" s="73"/>
      <c r="L9" s="73"/>
      <c r="M9" s="73"/>
      <c r="N9" s="73"/>
      <c r="O9" s="74"/>
    </row>
    <row r="10" spans="2:15" x14ac:dyDescent="0.2">
      <c r="B10" s="5"/>
      <c r="C10" s="21" t="s">
        <v>15</v>
      </c>
      <c r="D10" s="73" t="s">
        <v>28</v>
      </c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4"/>
    </row>
    <row r="11" spans="2:15" x14ac:dyDescent="0.2">
      <c r="B11" s="5"/>
      <c r="C11" s="21" t="s">
        <v>18</v>
      </c>
      <c r="D11" s="75">
        <v>40695</v>
      </c>
      <c r="E11" s="76"/>
      <c r="F11" s="77" t="s">
        <v>19</v>
      </c>
      <c r="G11" s="77"/>
      <c r="H11" s="75">
        <v>41455</v>
      </c>
      <c r="I11" s="76"/>
      <c r="J11" s="76"/>
      <c r="K11" s="77" t="s">
        <v>16</v>
      </c>
      <c r="L11" s="77"/>
      <c r="M11" s="75">
        <v>40908</v>
      </c>
      <c r="N11" s="76"/>
      <c r="O11" s="78"/>
    </row>
    <row r="12" spans="2:15" x14ac:dyDescent="0.2">
      <c r="B12" s="5"/>
      <c r="C12" s="12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5"/>
    </row>
    <row r="13" spans="2:15" x14ac:dyDescent="0.2">
      <c r="B13" s="5"/>
      <c r="C13" s="22"/>
      <c r="D13" s="69" t="s">
        <v>17</v>
      </c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70"/>
    </row>
    <row r="14" spans="2:15" x14ac:dyDescent="0.2">
      <c r="B14" s="5"/>
      <c r="C14" s="23"/>
      <c r="D14" s="24" t="s">
        <v>0</v>
      </c>
      <c r="E14" s="24" t="s">
        <v>1</v>
      </c>
      <c r="F14" s="24" t="s">
        <v>2</v>
      </c>
      <c r="G14" s="24" t="s">
        <v>3</v>
      </c>
      <c r="H14" s="24" t="s">
        <v>4</v>
      </c>
      <c r="I14" s="24" t="s">
        <v>5</v>
      </c>
      <c r="J14" s="24" t="s">
        <v>6</v>
      </c>
      <c r="K14" s="24" t="s">
        <v>7</v>
      </c>
      <c r="L14" s="24" t="s">
        <v>8</v>
      </c>
      <c r="M14" s="24" t="s">
        <v>9</v>
      </c>
      <c r="N14" s="24" t="s">
        <v>10</v>
      </c>
      <c r="O14" s="25" t="s">
        <v>11</v>
      </c>
    </row>
    <row r="15" spans="2:15" x14ac:dyDescent="0.2">
      <c r="B15" s="5"/>
      <c r="C15" s="21" t="s">
        <v>12</v>
      </c>
      <c r="D15" s="26">
        <v>20000</v>
      </c>
      <c r="E15" s="26">
        <v>40000</v>
      </c>
      <c r="F15" s="26">
        <v>60000</v>
      </c>
      <c r="G15" s="26">
        <v>80000</v>
      </c>
      <c r="H15" s="26">
        <v>120000</v>
      </c>
      <c r="I15" s="26">
        <v>140000</v>
      </c>
      <c r="J15" s="26">
        <v>160000</v>
      </c>
      <c r="K15" s="26">
        <v>180000</v>
      </c>
      <c r="L15" s="26">
        <v>180000</v>
      </c>
      <c r="M15" s="26">
        <v>120000</v>
      </c>
      <c r="N15" s="26">
        <v>80000</v>
      </c>
      <c r="O15" s="27">
        <v>40000</v>
      </c>
    </row>
    <row r="16" spans="2:15" x14ac:dyDescent="0.2">
      <c r="B16" s="5"/>
      <c r="C16" s="21" t="s">
        <v>20</v>
      </c>
      <c r="D16" s="26">
        <f>D15</f>
        <v>20000</v>
      </c>
      <c r="E16" s="26">
        <f>D16+E15</f>
        <v>60000</v>
      </c>
      <c r="F16" s="26">
        <f>E16+F15</f>
        <v>120000</v>
      </c>
      <c r="G16" s="26">
        <f t="shared" ref="G16:O16" si="0">F16+G15</f>
        <v>200000</v>
      </c>
      <c r="H16" s="26">
        <f t="shared" si="0"/>
        <v>320000</v>
      </c>
      <c r="I16" s="26">
        <f t="shared" si="0"/>
        <v>460000</v>
      </c>
      <c r="J16" s="26">
        <f t="shared" si="0"/>
        <v>620000</v>
      </c>
      <c r="K16" s="26">
        <f t="shared" si="0"/>
        <v>800000</v>
      </c>
      <c r="L16" s="26">
        <f t="shared" si="0"/>
        <v>980000</v>
      </c>
      <c r="M16" s="26">
        <f t="shared" si="0"/>
        <v>1100000</v>
      </c>
      <c r="N16" s="26">
        <f t="shared" si="0"/>
        <v>1180000</v>
      </c>
      <c r="O16" s="27">
        <f t="shared" si="0"/>
        <v>1220000</v>
      </c>
    </row>
    <row r="17" spans="2:15" x14ac:dyDescent="0.2">
      <c r="B17" s="5"/>
      <c r="C17" s="21" t="s">
        <v>13</v>
      </c>
      <c r="D17" s="26">
        <v>20000</v>
      </c>
      <c r="E17" s="26">
        <v>20000</v>
      </c>
      <c r="F17" s="26">
        <v>40000</v>
      </c>
      <c r="G17" s="26">
        <v>60000</v>
      </c>
      <c r="H17" s="26"/>
      <c r="I17" s="26"/>
      <c r="J17" s="26"/>
      <c r="K17" s="26"/>
      <c r="L17" s="26"/>
      <c r="M17" s="26"/>
      <c r="N17" s="26"/>
      <c r="O17" s="27"/>
    </row>
    <row r="18" spans="2:15" x14ac:dyDescent="0.2">
      <c r="B18" s="5"/>
      <c r="C18" s="21" t="s">
        <v>21</v>
      </c>
      <c r="D18" s="26">
        <f>D17</f>
        <v>20000</v>
      </c>
      <c r="E18" s="26">
        <f>D18+E17</f>
        <v>40000</v>
      </c>
      <c r="F18" s="26">
        <f t="shared" ref="F18:J18" si="1">E18+F17</f>
        <v>80000</v>
      </c>
      <c r="G18" s="26">
        <f t="shared" si="1"/>
        <v>140000</v>
      </c>
      <c r="H18" s="26"/>
      <c r="I18" s="26"/>
      <c r="J18" s="26"/>
      <c r="K18" s="26"/>
      <c r="L18" s="26"/>
      <c r="M18" s="26"/>
      <c r="N18" s="26"/>
      <c r="O18" s="27"/>
    </row>
    <row r="19" spans="2:15" x14ac:dyDescent="0.2">
      <c r="B19" s="5"/>
      <c r="O19" s="6"/>
    </row>
    <row r="20" spans="2:15" x14ac:dyDescent="0.2">
      <c r="B20" s="5"/>
      <c r="O20" s="6"/>
    </row>
    <row r="21" spans="2:15" x14ac:dyDescent="0.2">
      <c r="B21" s="5"/>
      <c r="C21" s="7"/>
      <c r="D21" s="13"/>
      <c r="E21" s="14"/>
      <c r="O21" s="6"/>
    </row>
    <row r="22" spans="2:15" x14ac:dyDescent="0.2">
      <c r="B22" s="5"/>
      <c r="O22" s="6"/>
    </row>
    <row r="23" spans="2:15" x14ac:dyDescent="0.2">
      <c r="B23" s="5"/>
      <c r="O23" s="6"/>
    </row>
    <row r="24" spans="2:15" x14ac:dyDescent="0.2">
      <c r="B24" s="5"/>
      <c r="O24" s="6"/>
    </row>
    <row r="25" spans="2:15" x14ac:dyDescent="0.2">
      <c r="B25" s="5"/>
      <c r="O25" s="6"/>
    </row>
    <row r="26" spans="2:15" x14ac:dyDescent="0.2">
      <c r="B26" s="5"/>
      <c r="O26" s="6"/>
    </row>
    <row r="27" spans="2:15" x14ac:dyDescent="0.2">
      <c r="B27" s="5"/>
      <c r="O27" s="6"/>
    </row>
    <row r="28" spans="2:15" x14ac:dyDescent="0.2">
      <c r="B28" s="5"/>
      <c r="O28" s="6"/>
    </row>
    <row r="29" spans="2:15" x14ac:dyDescent="0.2">
      <c r="B29" s="5"/>
      <c r="O29" s="6"/>
    </row>
    <row r="30" spans="2:15" x14ac:dyDescent="0.2">
      <c r="B30" s="5"/>
      <c r="O30" s="6"/>
    </row>
    <row r="31" spans="2:15" x14ac:dyDescent="0.2">
      <c r="B31" s="5"/>
      <c r="O31" s="6"/>
    </row>
    <row r="32" spans="2:15" x14ac:dyDescent="0.2">
      <c r="B32" s="5"/>
      <c r="O32" s="6"/>
    </row>
    <row r="33" spans="2:15" x14ac:dyDescent="0.2">
      <c r="B33" s="5"/>
      <c r="O33" s="6"/>
    </row>
    <row r="34" spans="2:15" x14ac:dyDescent="0.2">
      <c r="B34" s="5"/>
      <c r="O34" s="6"/>
    </row>
    <row r="35" spans="2:15" x14ac:dyDescent="0.2">
      <c r="B35" s="5"/>
      <c r="O35" s="6"/>
    </row>
    <row r="36" spans="2:15" x14ac:dyDescent="0.2">
      <c r="B36" s="5"/>
      <c r="O36" s="6"/>
    </row>
    <row r="37" spans="2:15" x14ac:dyDescent="0.2">
      <c r="B37" s="5"/>
      <c r="O37" s="6"/>
    </row>
    <row r="38" spans="2:15" x14ac:dyDescent="0.2">
      <c r="B38" s="5"/>
      <c r="O38" s="6"/>
    </row>
    <row r="39" spans="2:15" x14ac:dyDescent="0.2">
      <c r="B39" s="5"/>
      <c r="O39" s="6"/>
    </row>
    <row r="40" spans="2:15" x14ac:dyDescent="0.2">
      <c r="B40" s="5"/>
      <c r="O40" s="6"/>
    </row>
    <row r="41" spans="2:15" x14ac:dyDescent="0.2">
      <c r="B41" s="5"/>
      <c r="O41" s="6"/>
    </row>
    <row r="42" spans="2:15" x14ac:dyDescent="0.2">
      <c r="B42" s="5"/>
      <c r="O42" s="6"/>
    </row>
    <row r="43" spans="2:15" ht="15.75" thickBot="1" x14ac:dyDescent="0.25">
      <c r="B43" s="8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10"/>
    </row>
    <row r="44" spans="2:15" ht="15.75" thickTop="1" x14ac:dyDescent="0.2"/>
  </sheetData>
  <mergeCells count="9">
    <mergeCell ref="D13:O13"/>
    <mergeCell ref="C7:O7"/>
    <mergeCell ref="D9:O9"/>
    <mergeCell ref="D10:O10"/>
    <mergeCell ref="D11:E11"/>
    <mergeCell ref="F11:G11"/>
    <mergeCell ref="H11:J11"/>
    <mergeCell ref="K11:L11"/>
    <mergeCell ref="M11:O11"/>
  </mergeCells>
  <pageMargins left="0.7" right="0.7" top="0.75" bottom="0.75" header="0.3" footer="0.3"/>
  <pageSetup scale="3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8bb3860-613a-4c0a-85e7-29b43b622a4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76492BC76C0754299B74366EDD3DA1B" ma:contentTypeVersion="9" ma:contentTypeDescription="Crear nuevo documento." ma:contentTypeScope="" ma:versionID="62e5028d0a9987cb207942973a24435d">
  <xsd:schema xmlns:xsd="http://www.w3.org/2001/XMLSchema" xmlns:xs="http://www.w3.org/2001/XMLSchema" xmlns:p="http://schemas.microsoft.com/office/2006/metadata/properties" xmlns:ns3="440f87ab-1b82-4920-bd2f-b8b4e35b4305" xmlns:ns4="08bb3860-613a-4c0a-85e7-29b43b622a49" targetNamespace="http://schemas.microsoft.com/office/2006/metadata/properties" ma:root="true" ma:fieldsID="15cdcf0e6e8ccec1c6f48e7e89401c3d" ns3:_="" ns4:_="">
    <xsd:import namespace="440f87ab-1b82-4920-bd2f-b8b4e35b4305"/>
    <xsd:import namespace="08bb3860-613a-4c0a-85e7-29b43b622a49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ObjectDetectorVersions" minOccurs="0"/>
                <xsd:element ref="ns4:MediaServiceSearchProperties" minOccurs="0"/>
                <xsd:element ref="ns4:_activity" minOccurs="0"/>
                <xsd:element ref="ns4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0f87ab-1b82-4920-bd2f-b8b4e35b430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bb3860-613a-4c0a-85e7-29b43b622a4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CE5612D-1281-4FD3-A82D-8D2B6938698F}">
  <ds:schemaRefs>
    <ds:schemaRef ds:uri="http://schemas.microsoft.com/office/2006/metadata/properties"/>
    <ds:schemaRef ds:uri="http://www.w3.org/2000/xmlns/"/>
    <ds:schemaRef ds:uri="08bb3860-613a-4c0a-85e7-29b43b622a49"/>
    <ds:schemaRef ds:uri="http://www.w3.org/2001/XMLSchema-instance"/>
  </ds:schemaRefs>
</ds:datastoreItem>
</file>

<file path=customXml/itemProps2.xml><?xml version="1.0" encoding="utf-8"?>
<ds:datastoreItem xmlns:ds="http://schemas.openxmlformats.org/officeDocument/2006/customXml" ds:itemID="{27B6B917-4911-4783-B1D3-2FAB61BEDED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23AAC84-E548-4579-B5B2-B902100E8A40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440f87ab-1b82-4920-bd2f-b8b4e35b4305"/>
    <ds:schemaRef ds:uri="08bb3860-613a-4c0a-85e7-29b43b622a4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Detalle de Costos</vt:lpstr>
      <vt:lpstr>Plantilla Curva S</vt:lpstr>
      <vt:lpstr>Ejemplo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hrizo</dc:creator>
  <cp:lastModifiedBy>CASSANDRA CAZARES OLIVAS</cp:lastModifiedBy>
  <cp:lastPrinted>2012-06-13T17:33:48Z</cp:lastPrinted>
  <dcterms:created xsi:type="dcterms:W3CDTF">2012-05-23T17:29:07Z</dcterms:created>
  <dcterms:modified xsi:type="dcterms:W3CDTF">2026-02-22T17:41:35Z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0x010100B76492BC76C0754299B74366EDD3DA1B</vt:lpwstr>
  </property>
</Properties>
</file>