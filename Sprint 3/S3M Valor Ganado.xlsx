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DA362A62-DCAB-4EFF-8F5B-B68521FE5F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M Sprint 3 – 76B12" sheetId="1" r:id="rId1"/>
    <sheet name="Ejemplo" sheetId="2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F21" i="2" s="1"/>
  <c r="G21" i="2" s="1"/>
  <c r="H21" i="2" s="1"/>
  <c r="I21" i="2" s="1"/>
  <c r="J21" i="2" s="1"/>
  <c r="D21" i="2"/>
  <c r="E19" i="2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C26" i="2" s="1"/>
  <c r="D19" i="2"/>
  <c r="G23" i="2" l="1"/>
  <c r="J23" i="2"/>
  <c r="F23" i="2"/>
  <c r="I23" i="2"/>
  <c r="E23" i="2"/>
  <c r="H23" i="2"/>
  <c r="D23" i="2"/>
  <c r="D24" i="2" l="1"/>
  <c r="E24" i="2"/>
  <c r="F24" i="2" s="1"/>
  <c r="G24" i="2" s="1"/>
  <c r="H24" i="2" s="1"/>
  <c r="I24" i="2" s="1"/>
  <c r="J24" i="2" s="1"/>
  <c r="C29" i="2" l="1"/>
  <c r="C32" i="2"/>
  <c r="C31" i="2"/>
  <c r="C33" i="2" s="1"/>
  <c r="C30" i="2"/>
</calcChain>
</file>

<file path=xl/sharedStrings.xml><?xml version="1.0" encoding="utf-8"?>
<sst xmlns="http://schemas.openxmlformats.org/spreadsheetml/2006/main" count="101" uniqueCount="70">
  <si>
    <t>Gestión del Valor Ganado</t>
  </si>
  <si>
    <t>Valor Ganado</t>
  </si>
  <si>
    <t>Proyecto:</t>
  </si>
  <si>
    <t>Segmentación de Mercado para Targeting (Mall Customer Segmentation)</t>
  </si>
  <si>
    <t>ID:</t>
  </si>
  <si>
    <t>76B12</t>
  </si>
  <si>
    <t>Fecha de Inicio</t>
  </si>
  <si>
    <t>Fecha Fin:</t>
  </si>
  <si>
    <t>Fecha de Corte:</t>
  </si>
  <si>
    <t>2026-04-28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</si>
  <si>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</si>
  <si>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</si>
  <si>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</si>
  <si>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</si>
  <si>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</si>
  <si>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</si>
  <si>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</si>
  <si>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</si>
  <si>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</si>
  <si>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</si>
  <si>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</si>
  <si>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</si>
  <si>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Valor Planificado</t>
  </si>
  <si>
    <t>Valor Planificado Acumulado</t>
  </si>
  <si>
    <t>PV</t>
  </si>
  <si>
    <t>Costo Real</t>
  </si>
  <si>
    <t>Costo Real Acumulado</t>
  </si>
  <si>
    <t>AC</t>
  </si>
  <si>
    <t>Porcentaje de avance completado del mes</t>
  </si>
  <si>
    <t>%comp</t>
  </si>
  <si>
    <t xml:space="preserve">Valor ganado del trabajo realizado  </t>
  </si>
  <si>
    <t>Valor ganado del trabajo realizado acumulado</t>
  </si>
  <si>
    <t>EV</t>
  </si>
  <si>
    <t xml:space="preserve"> </t>
  </si>
  <si>
    <t>Costo total prespuestado BAC</t>
  </si>
  <si>
    <t>Indices y variaciones</t>
  </si>
  <si>
    <t>Valor</t>
  </si>
  <si>
    <t>Variación del costo (CV/Cost Variance) [CV=EV-AC]</t>
  </si>
  <si>
    <t>Variación del cronograma (SV/Schedule Variance)                    [SV=EV-PV]</t>
  </si>
  <si>
    <t>Índice de desempeño del costo (CPI/Cost Performance Index) [CPI = EV/AC]</t>
  </si>
  <si>
    <t>Índice de desempeño del cronograma del proyecto (SPI/Schedule Performance Index) [SPI = EV/PV]</t>
  </si>
  <si>
    <t>Estimación a la conclusión (EAC/Estimate at Completion)           [EAC = BAC/CPI]</t>
  </si>
  <si>
    <t>CV negativa, el proyecto está sobre gastado</t>
  </si>
  <si>
    <t>CV positiva, el proyecto ha gastado menos de lo presupuestado</t>
  </si>
  <si>
    <t>SV negativa, el proyecto está retrasado</t>
  </si>
  <si>
    <t>SV positiva, el proyecto está adelantado</t>
  </si>
  <si>
    <t>CPI menor que 1, el proyecto está sobre gastado</t>
  </si>
  <si>
    <t>CPI mayor que 1, el proyecto ha gastado menos de lo presupuestado</t>
  </si>
  <si>
    <t>SPI menor que 1, el proyecto está retrasado</t>
  </si>
  <si>
    <t>SPI mayor que 1, el proyecto está adelantado</t>
  </si>
  <si>
    <t>Apoyo Educativo</t>
  </si>
  <si>
    <t>HT2011-12</t>
  </si>
  <si>
    <t>Año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</si>
  <si>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</si>
  <si>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</si>
  <si>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</si>
  <si>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</si>
  <si>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</si>
  <si>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</si>
  <si>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</si>
  <si>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</si>
  <si>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</si>
  <si>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</si>
  <si>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</si>
  <si>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</si>
  <si>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[EV= % comp x BAC]</t>
  </si>
  <si>
    <t>Costo total prespuestado (BAC)</t>
  </si>
  <si>
    <t>Variación del cronograma (SV/Schedule Variance)         [SV=EV-PV]</t>
  </si>
  <si>
    <t>Índice de desempeño del costo (CPI/Cost Performance Index)   [CPI = EV/AC]</t>
  </si>
  <si>
    <t>Estimación a la conclusión (EAC/Estimate at Completion)        [EAC = BAC/CPI]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</si>
</sst>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"/>
    <numFmt numFmtId="165" formatCode="0.0000"/>
    <numFmt numFmtId="166" formatCode="_-* #,##0_-;\-* #,##0_-;_-* &quot;-&quot;??_-;_-@_-"/>
    <numFmt numFmtId="167" formatCode="_-&quot;$&quot;* #,##0_-;\-&quot;$&quot;* #,##0_-;_-&quot;$&quot;* &quot;-&quot;??_-;_-@_-"/>
    <numFmt numFmtId="168" formatCode="0.0%"/>
    <numFmt numFmtId="169" formatCode="#,##0_ ;[Red]\-#,##0\ 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0"/>
      <color theme="1"/>
      <name val="Verdana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/>
    <xf numFmtId="9" fontId="4" fillId="0" borderId="0"/>
  </cellStyleXfs>
  <cellXfs count="129">
    <xf numFmtId="0" fontId="0" fillId="0" borderId="0" xfId="0"/>
    <xf numFmtId="0" fontId="1" fillId="0" borderId="0" xfId="0" applyFont="1" applyAlignment="1">
      <alignment horizontal="justify"/>
    </xf>
    <xf numFmtId="0" fontId="3" fillId="0" borderId="0" xfId="0" applyFont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2" fontId="2" fillId="0" borderId="6" xfId="0" applyNumberFormat="1" applyFont="1" applyBorder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15" xfId="0" applyBorder="1"/>
    <xf numFmtId="0" fontId="0" fillId="0" borderId="16" xfId="0" applyBorder="1"/>
    <xf numFmtId="0" fontId="8" fillId="0" borderId="0" xfId="0" applyFont="1" applyAlignment="1">
      <alignment horizontal="right"/>
    </xf>
    <xf numFmtId="0" fontId="0" fillId="0" borderId="0" xfId="0" applyAlignment="1">
      <alignment horizontal="left"/>
    </xf>
    <xf numFmtId="0" fontId="8" fillId="5" borderId="15" xfId="0" applyFont="1" applyFill="1" applyBorder="1"/>
    <xf numFmtId="0" fontId="8" fillId="5" borderId="5" xfId="0" applyFont="1" applyFill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8" fillId="5" borderId="12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166" fontId="2" fillId="0" borderId="4" xfId="1" applyNumberFormat="1" applyFont="1" applyBorder="1" applyAlignment="1">
      <alignment horizontal="right"/>
    </xf>
    <xf numFmtId="0" fontId="8" fillId="5" borderId="9" xfId="0" applyFont="1" applyFill="1" applyBorder="1" applyAlignment="1">
      <alignment horizontal="right"/>
    </xf>
    <xf numFmtId="0" fontId="0" fillId="5" borderId="12" xfId="0" applyFill="1" applyBorder="1"/>
    <xf numFmtId="0" fontId="8" fillId="5" borderId="18" xfId="0" applyFont="1" applyFill="1" applyBorder="1"/>
    <xf numFmtId="0" fontId="0" fillId="5" borderId="1" xfId="0" applyFill="1" applyBorder="1"/>
    <xf numFmtId="0" fontId="8" fillId="5" borderId="6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right"/>
    </xf>
    <xf numFmtId="0" fontId="8" fillId="5" borderId="2" xfId="0" applyFont="1" applyFill="1" applyBorder="1" applyAlignment="1">
      <alignment horizontal="right"/>
    </xf>
    <xf numFmtId="0" fontId="8" fillId="5" borderId="3" xfId="0" applyFont="1" applyFill="1" applyBorder="1" applyAlignment="1">
      <alignment horizontal="center"/>
    </xf>
    <xf numFmtId="167" fontId="0" fillId="3" borderId="5" xfId="1" applyNumberFormat="1" applyFont="1" applyFill="1" applyBorder="1"/>
    <xf numFmtId="167" fontId="0" fillId="3" borderId="17" xfId="1" applyNumberFormat="1" applyFont="1" applyFill="1" applyBorder="1"/>
    <xf numFmtId="167" fontId="0" fillId="3" borderId="14" xfId="1" applyNumberFormat="1" applyFont="1" applyFill="1" applyBorder="1"/>
    <xf numFmtId="0" fontId="10" fillId="0" borderId="0" xfId="0" applyFont="1" applyAlignment="1">
      <alignment vertical="center" wrapText="1"/>
    </xf>
    <xf numFmtId="168" fontId="2" fillId="3" borderId="22" xfId="2" applyNumberFormat="1" applyFont="1" applyFill="1" applyBorder="1" applyAlignment="1">
      <alignment horizontal="right" vertical="top" wrapText="1"/>
    </xf>
    <xf numFmtId="168" fontId="2" fillId="3" borderId="23" xfId="2" applyNumberFormat="1" applyFont="1" applyFill="1" applyBorder="1" applyAlignment="1">
      <alignment horizontal="right" vertical="top" wrapText="1"/>
    </xf>
    <xf numFmtId="168" fontId="2" fillId="3" borderId="24" xfId="2" applyNumberFormat="1" applyFont="1" applyFill="1" applyBorder="1" applyAlignment="1">
      <alignment horizontal="right" vertical="top" wrapText="1"/>
    </xf>
    <xf numFmtId="169" fontId="0" fillId="3" borderId="5" xfId="1" applyNumberFormat="1" applyFont="1" applyFill="1" applyBorder="1"/>
    <xf numFmtId="0" fontId="8" fillId="5" borderId="12" xfId="0" applyFont="1" applyFill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5" xfId="0" applyBorder="1"/>
    <xf numFmtId="0" fontId="8" fillId="5" borderId="26" xfId="0" applyFont="1" applyFill="1" applyBorder="1"/>
    <xf numFmtId="0" fontId="8" fillId="5" borderId="27" xfId="0" applyFont="1" applyFill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8" fillId="5" borderId="20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9" fillId="4" borderId="0" xfId="0" applyFont="1" applyFill="1" applyAlignment="1">
      <alignment horizontal="center"/>
    </xf>
    <xf numFmtId="0" fontId="0" fillId="0" borderId="0" xfId="0"/>
    <xf numFmtId="14" fontId="7" fillId="3" borderId="0" xfId="0" applyNumberFormat="1" applyFont="1" applyFill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" fontId="7" fillId="3" borderId="0" xfId="0" applyNumberFormat="1" applyFont="1" applyFill="1" applyAlignment="1" applyProtection="1">
      <alignment horizontal="center" vertical="top" wrapText="1"/>
      <protection locked="0"/>
    </xf>
    <xf numFmtId="14" fontId="0" fillId="0" borderId="3" xfId="0" applyNumberFormat="1" applyBorder="1" applyAlignment="1">
      <alignment horizontal="center"/>
    </xf>
    <xf numFmtId="0" fontId="0" fillId="0" borderId="27" xfId="0" applyBorder="1"/>
    <xf numFmtId="14" fontId="0" fillId="0" borderId="4" xfId="0" applyNumberFormat="1" applyBorder="1" applyAlignment="1">
      <alignment horizontal="center"/>
    </xf>
    <xf numFmtId="0" fontId="0" fillId="0" borderId="28" xfId="0" applyBorder="1"/>
    <xf numFmtId="0" fontId="0" fillId="0" borderId="30" xfId="0" applyBorder="1"/>
    <xf numFmtId="0" fontId="11" fillId="0" borderId="0" xfId="0" applyFont="1" applyAlignment="1">
      <alignment horizontal="justify"/>
    </xf>
    <xf numFmtId="0" fontId="12" fillId="4" borderId="0" xfId="0" applyFont="1" applyFill="1" applyAlignment="1">
      <alignment horizontal="center"/>
    </xf>
    <xf numFmtId="0" fontId="11" fillId="0" borderId="0" xfId="0" applyFont="1"/>
    <xf numFmtId="0" fontId="11" fillId="0" borderId="0" xfId="0" applyFont="1"/>
    <xf numFmtId="0" fontId="12" fillId="5" borderId="12" xfId="0" applyFont="1" applyFill="1" applyBorder="1" applyAlignment="1">
      <alignment horizontal="right"/>
    </xf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2" fillId="5" borderId="1" xfId="0" applyFont="1" applyFill="1" applyBorder="1" applyAlignment="1">
      <alignment horizontal="right"/>
    </xf>
    <xf numFmtId="0" fontId="11" fillId="0" borderId="15" xfId="0" applyFont="1" applyBorder="1"/>
    <xf numFmtId="0" fontId="11" fillId="0" borderId="16" xfId="0" applyFont="1" applyBorder="1"/>
    <xf numFmtId="0" fontId="11" fillId="0" borderId="25" xfId="0" applyFont="1" applyBorder="1"/>
    <xf numFmtId="0" fontId="12" fillId="5" borderId="2" xfId="0" applyFont="1" applyFill="1" applyBorder="1" applyAlignment="1">
      <alignment horizontal="right"/>
    </xf>
    <xf numFmtId="14" fontId="11" fillId="0" borderId="26" xfId="0" applyNumberFormat="1" applyFont="1" applyBorder="1"/>
    <xf numFmtId="14" fontId="11" fillId="0" borderId="27" xfId="0" applyNumberFormat="1" applyFont="1" applyBorder="1"/>
    <xf numFmtId="0" fontId="12" fillId="5" borderId="26" xfId="0" applyFont="1" applyFill="1" applyBorder="1"/>
    <xf numFmtId="0" fontId="12" fillId="5" borderId="27" xfId="0" applyFont="1" applyFill="1" applyBorder="1"/>
    <xf numFmtId="0" fontId="11" fillId="0" borderId="28" xfId="0" applyFont="1" applyBorder="1"/>
    <xf numFmtId="0" fontId="11" fillId="0" borderId="27" xfId="0" applyFont="1" applyBorder="1"/>
    <xf numFmtId="14" fontId="11" fillId="0" borderId="28" xfId="0" applyNumberFormat="1" applyFont="1" applyBorder="1"/>
    <xf numFmtId="14" fontId="11" fillId="0" borderId="29" xfId="0" applyNumberFormat="1" applyFont="1" applyBorder="1"/>
    <xf numFmtId="0" fontId="11" fillId="0" borderId="30" xfId="0" applyFont="1" applyBorder="1"/>
    <xf numFmtId="0" fontId="12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14" fontId="13" fillId="0" borderId="0" xfId="0" applyNumberFormat="1" applyFont="1" applyAlignment="1" applyProtection="1">
      <alignment horizontal="left" vertical="center"/>
      <protection locked="0"/>
    </xf>
    <xf numFmtId="0" fontId="13" fillId="3" borderId="0" xfId="0" applyFont="1" applyFill="1" applyAlignment="1">
      <alignment horizontal="left" vertical="center"/>
    </xf>
    <xf numFmtId="0" fontId="11" fillId="3" borderId="0" xfId="0" applyFont="1" applyFill="1"/>
    <xf numFmtId="14" fontId="13" fillId="3" borderId="0" xfId="0" applyNumberFormat="1" applyFont="1" applyFill="1" applyAlignment="1" applyProtection="1">
      <alignment horizontal="center" vertical="top" wrapText="1"/>
      <protection locked="0"/>
    </xf>
    <xf numFmtId="0" fontId="11" fillId="0" borderId="0" xfId="0" applyFont="1" applyProtection="1">
      <protection locked="0"/>
    </xf>
    <xf numFmtId="0" fontId="11" fillId="5" borderId="12" xfId="0" applyFont="1" applyFill="1" applyBorder="1"/>
    <xf numFmtId="0" fontId="12" fillId="5" borderId="18" xfId="0" applyFont="1" applyFill="1" applyBorder="1"/>
    <xf numFmtId="0" fontId="12" fillId="5" borderId="20" xfId="0" applyFont="1" applyFill="1" applyBorder="1" applyAlignment="1">
      <alignment horizontal="center"/>
    </xf>
    <xf numFmtId="0" fontId="11" fillId="0" borderId="19" xfId="0" applyFont="1" applyBorder="1"/>
    <xf numFmtId="0" fontId="11" fillId="0" borderId="20" xfId="0" applyFont="1" applyBorder="1"/>
    <xf numFmtId="0" fontId="11" fillId="5" borderId="1" xfId="0" applyFont="1" applyFill="1" applyBorder="1"/>
    <xf numFmtId="0" fontId="12" fillId="5" borderId="15" xfId="0" applyFont="1" applyFill="1" applyBorder="1"/>
    <xf numFmtId="0" fontId="12" fillId="5" borderId="5" xfId="0" applyFont="1" applyFill="1" applyBorder="1" applyAlignment="1">
      <alignment horizontal="center"/>
    </xf>
    <xf numFmtId="0" fontId="11" fillId="0" borderId="21" xfId="0" applyFont="1" applyBorder="1"/>
    <xf numFmtId="3" fontId="12" fillId="2" borderId="9" xfId="0" applyNumberFormat="1" applyFont="1" applyFill="1" applyBorder="1" applyAlignment="1">
      <alignment horizontal="center" vertical="top" wrapText="1"/>
    </xf>
    <xf numFmtId="3" fontId="12" fillId="2" borderId="10" xfId="0" applyNumberFormat="1" applyFont="1" applyFill="1" applyBorder="1" applyAlignment="1">
      <alignment horizontal="center" vertical="top" wrapText="1"/>
    </xf>
    <xf numFmtId="3" fontId="12" fillId="2" borderId="11" xfId="0" applyNumberFormat="1" applyFont="1" applyFill="1" applyBorder="1" applyAlignment="1">
      <alignment horizontal="center" vertical="top" wrapText="1"/>
    </xf>
    <xf numFmtId="44" fontId="11" fillId="3" borderId="7" xfId="1" applyFont="1" applyFill="1" applyBorder="1" applyAlignment="1" applyProtection="1">
      <alignment horizontal="right" vertical="top" wrapText="1"/>
      <protection locked="0"/>
    </xf>
    <xf numFmtId="44" fontId="11" fillId="3" borderId="7" xfId="1" quotePrefix="1" applyFont="1" applyFill="1" applyBorder="1" applyAlignment="1" applyProtection="1">
      <alignment horizontal="right" vertical="top" wrapText="1"/>
      <protection locked="0"/>
    </xf>
    <xf numFmtId="44" fontId="11" fillId="3" borderId="8" xfId="1" applyFont="1" applyFill="1" applyBorder="1" applyAlignment="1" applyProtection="1">
      <alignment horizontal="right" vertical="top" wrapText="1"/>
      <protection locked="0"/>
    </xf>
    <xf numFmtId="167" fontId="11" fillId="3" borderId="5" xfId="1" applyNumberFormat="1" applyFont="1" applyFill="1" applyBorder="1"/>
    <xf numFmtId="3" fontId="11" fillId="3" borderId="5" xfId="0" applyNumberFormat="1" applyFont="1" applyFill="1" applyBorder="1" applyAlignment="1" applyProtection="1">
      <alignment horizontal="right" vertical="top" wrapText="1"/>
      <protection locked="0"/>
    </xf>
    <xf numFmtId="3" fontId="11" fillId="3" borderId="6" xfId="0" applyNumberFormat="1" applyFont="1" applyFill="1" applyBorder="1" applyAlignment="1" applyProtection="1">
      <alignment horizontal="right" vertical="top" wrapText="1"/>
      <protection locked="0"/>
    </xf>
    <xf numFmtId="10" fontId="11" fillId="3" borderId="22" xfId="2" applyNumberFormat="1" applyFont="1" applyFill="1" applyBorder="1" applyAlignment="1">
      <alignment horizontal="right" vertical="top" wrapText="1"/>
    </xf>
    <xf numFmtId="10" fontId="11" fillId="3" borderId="23" xfId="2" applyNumberFormat="1" applyFont="1" applyFill="1" applyBorder="1" applyAlignment="1">
      <alignment horizontal="right" vertical="top" wrapText="1"/>
    </xf>
    <xf numFmtId="3" fontId="11" fillId="3" borderId="23" xfId="0" applyNumberFormat="1" applyFont="1" applyFill="1" applyBorder="1" applyAlignment="1">
      <alignment horizontal="right" vertical="top" wrapText="1"/>
    </xf>
    <xf numFmtId="3" fontId="11" fillId="3" borderId="24" xfId="0" applyNumberFormat="1" applyFont="1" applyFill="1" applyBorder="1" applyAlignment="1">
      <alignment horizontal="right" vertical="top" wrapText="1"/>
    </xf>
    <xf numFmtId="0" fontId="12" fillId="5" borderId="3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right"/>
    </xf>
    <xf numFmtId="167" fontId="13" fillId="3" borderId="11" xfId="0" applyNumberFormat="1" applyFont="1" applyFill="1" applyBorder="1" applyAlignment="1">
      <alignment horizontal="center"/>
    </xf>
    <xf numFmtId="167" fontId="11" fillId="0" borderId="0" xfId="0" applyNumberFormat="1" applyFont="1" applyAlignment="1">
      <alignment horizontal="right"/>
    </xf>
    <xf numFmtId="0" fontId="12" fillId="5" borderId="1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165" fontId="11" fillId="0" borderId="0" xfId="0" applyNumberFormat="1" applyFont="1"/>
    <xf numFmtId="169" fontId="11" fillId="3" borderId="5" xfId="1" applyNumberFormat="1" applyFont="1" applyFill="1" applyBorder="1"/>
    <xf numFmtId="2" fontId="11" fillId="0" borderId="6" xfId="0" applyNumberFormat="1" applyFont="1" applyBorder="1" applyAlignment="1">
      <alignment horizontal="right"/>
    </xf>
    <xf numFmtId="0" fontId="11" fillId="0" borderId="2" xfId="0" applyFont="1" applyBorder="1" applyAlignment="1">
      <alignment vertical="center" wrapText="1"/>
    </xf>
    <xf numFmtId="166" fontId="11" fillId="0" borderId="4" xfId="1" applyNumberFormat="1" applyFont="1" applyBorder="1" applyAlignment="1">
      <alignment horizontal="right"/>
    </xf>
    <xf numFmtId="0" fontId="11" fillId="0" borderId="0" xfId="0" applyFont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61">
    <dxf>
      <font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top" wrapText="1"/>
    </dxf>
    <dxf>
      <font>
        <b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0376C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right" vertical="top" wrapText="1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Verdana"/>
      </font>
      <numFmt numFmtId="3" formatCode="#,##0"/>
      <alignment horizontal="right" vertical="top" wrapText="1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Verdana"/>
      </font>
      <alignment horizontal="right" vertical="top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76C"/>
        </patternFill>
      </fill>
      <alignment horizontal="center" vertical="bottom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38982568929505"/>
          <c:y val="3.0478231990821811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'EVM Sprint 3 – 76B12'!$C$20</c:f>
              <c:strCache>
                <c:ptCount val="1"/>
                <c:pt idx="0">
                  <c:v>PV</c:v>
                </c:pt>
              </c:strCache>
            </c:strRef>
          </c:tx>
          <c:spPr>
            <a:ln w="25400"/>
          </c:spPr>
          <c:cat>
            <c:strRef>
              <c:f>'EVM Sprint 3 – 76B12'!$D$17:$O$19</c:f>
              <c:strCache>
                <c:ptCount val="2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 $2,000.00 </c:v>
                </c:pt>
                <c:pt idx="13">
                  <c:v> $2,000.00 </c:v>
                </c:pt>
                <c:pt idx="14">
                  <c:v> $3,400.00 </c:v>
                </c:pt>
                <c:pt idx="15">
                  <c:v> $2,600.00 </c:v>
                </c:pt>
                <c:pt idx="16">
                  <c:v> $4,300.00 </c:v>
                </c:pt>
                <c:pt idx="17">
                  <c:v> $4,700.00 </c:v>
                </c:pt>
                <c:pt idx="18">
                  <c:v> $4,500.00 </c:v>
                </c:pt>
                <c:pt idx="19">
                  <c:v> $3,500.00 </c:v>
                </c:pt>
                <c:pt idx="20">
                  <c:v> $3,000.00 </c:v>
                </c:pt>
                <c:pt idx="21">
                  <c:v> $2,000.00 </c:v>
                </c:pt>
                <c:pt idx="22">
                  <c:v> $2,100.00 </c:v>
                </c:pt>
                <c:pt idx="23">
                  <c:v> $900.00 </c:v>
                </c:pt>
              </c:strCache>
            </c:strRef>
          </c:cat>
          <c:val>
            <c:numRef>
              <c:f>'EVM Sprint 3 – 76B12'!$D$20:$O$20</c:f>
              <c:numCache>
                <c:formatCode>_-"$"* #,##0_-;\-"$"* #,##0_-;_-"$"* "-"??_-;_-@_-</c:formatCode>
                <c:ptCount val="12"/>
                <c:pt idx="0">
                  <c:v>2000</c:v>
                </c:pt>
                <c:pt idx="1">
                  <c:v>4000</c:v>
                </c:pt>
                <c:pt idx="2">
                  <c:v>7400</c:v>
                </c:pt>
                <c:pt idx="3">
                  <c:v>10000</c:v>
                </c:pt>
                <c:pt idx="4">
                  <c:v>14300</c:v>
                </c:pt>
                <c:pt idx="5">
                  <c:v>19000</c:v>
                </c:pt>
                <c:pt idx="6">
                  <c:v>23500</c:v>
                </c:pt>
                <c:pt idx="7">
                  <c:v>27000</c:v>
                </c:pt>
                <c:pt idx="8">
                  <c:v>30000</c:v>
                </c:pt>
                <c:pt idx="9">
                  <c:v>32000</c:v>
                </c:pt>
                <c:pt idx="10">
                  <c:v>34100</c:v>
                </c:pt>
                <c:pt idx="11">
                  <c:v>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8-4145-B259-9D44F5CD5010}"/>
            </c:ext>
          </c:extLst>
        </c:ser>
        <c:ser>
          <c:idx val="2"/>
          <c:order val="2"/>
          <c:tx>
            <c:strRef>
              <c:f>'EVM Sprint 3 – 76B12'!$C$22</c:f>
              <c:strCache>
                <c:ptCount val="1"/>
                <c:pt idx="0">
                  <c:v>AC</c:v>
                </c:pt>
              </c:strCache>
            </c:strRef>
          </c:tx>
          <c:spPr>
            <a:ln w="25400"/>
          </c:spPr>
          <c:marker>
            <c:symbol val="triangle"/>
            <c:size val="5"/>
          </c:marker>
          <c:cat>
            <c:strRef>
              <c:f>'EVM Sprint 3 – 76B12'!$D$17:$O$19</c:f>
              <c:strCache>
                <c:ptCount val="2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 $2,000.00 </c:v>
                </c:pt>
                <c:pt idx="13">
                  <c:v> $2,000.00 </c:v>
                </c:pt>
                <c:pt idx="14">
                  <c:v> $3,400.00 </c:v>
                </c:pt>
                <c:pt idx="15">
                  <c:v> $2,600.00 </c:v>
                </c:pt>
                <c:pt idx="16">
                  <c:v> $4,300.00 </c:v>
                </c:pt>
                <c:pt idx="17">
                  <c:v> $4,700.00 </c:v>
                </c:pt>
                <c:pt idx="18">
                  <c:v> $4,500.00 </c:v>
                </c:pt>
                <c:pt idx="19">
                  <c:v> $3,500.00 </c:v>
                </c:pt>
                <c:pt idx="20">
                  <c:v> $3,000.00 </c:v>
                </c:pt>
                <c:pt idx="21">
                  <c:v> $2,000.00 </c:v>
                </c:pt>
                <c:pt idx="22">
                  <c:v> $2,100.00 </c:v>
                </c:pt>
                <c:pt idx="23">
                  <c:v> $900.00 </c:v>
                </c:pt>
              </c:strCache>
            </c:strRef>
          </c:cat>
          <c:val>
            <c:numRef>
              <c:f>'EVM Sprint 3 – 76B12'!$D$22:$O$22</c:f>
              <c:numCache>
                <c:formatCode>_-"$"* #,##0_-;\-"$"* #,##0_-;_-"$"* "-"??_-;_-@_-</c:formatCode>
                <c:ptCount val="12"/>
                <c:pt idx="0">
                  <c:v>1800</c:v>
                </c:pt>
                <c:pt idx="1">
                  <c:v>3700</c:v>
                </c:pt>
                <c:pt idx="2">
                  <c:v>6900</c:v>
                </c:pt>
                <c:pt idx="3">
                  <c:v>9400</c:v>
                </c:pt>
                <c:pt idx="4">
                  <c:v>13600</c:v>
                </c:pt>
                <c:pt idx="5">
                  <c:v>18200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8-4145-B259-9D44F5CD5010}"/>
            </c:ext>
          </c:extLst>
        </c:ser>
        <c:ser>
          <c:idx val="5"/>
          <c:order val="5"/>
          <c:tx>
            <c:strRef>
              <c:f>'EVM Sprint 3 – 76B12'!$C$25</c:f>
              <c:strCache>
                <c:ptCount val="1"/>
                <c:pt idx="0">
                  <c:v>EV</c:v>
                </c:pt>
              </c:strCache>
            </c:strRef>
          </c:tx>
          <c:cat>
            <c:strRef>
              <c:f>'EVM Sprint 3 – 76B12'!$D$17:$O$19</c:f>
              <c:strCache>
                <c:ptCount val="2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  <c:pt idx="10">
                  <c:v>Semana 11</c:v>
                </c:pt>
                <c:pt idx="11">
                  <c:v>Semana 12</c:v>
                </c:pt>
                <c:pt idx="12">
                  <c:v> $2,000.00 </c:v>
                </c:pt>
                <c:pt idx="13">
                  <c:v> $2,000.00 </c:v>
                </c:pt>
                <c:pt idx="14">
                  <c:v> $3,400.00 </c:v>
                </c:pt>
                <c:pt idx="15">
                  <c:v> $2,600.00 </c:v>
                </c:pt>
                <c:pt idx="16">
                  <c:v> $4,300.00 </c:v>
                </c:pt>
                <c:pt idx="17">
                  <c:v> $4,700.00 </c:v>
                </c:pt>
                <c:pt idx="18">
                  <c:v> $4,500.00 </c:v>
                </c:pt>
                <c:pt idx="19">
                  <c:v> $3,500.00 </c:v>
                </c:pt>
                <c:pt idx="20">
                  <c:v> $3,000.00 </c:v>
                </c:pt>
                <c:pt idx="21">
                  <c:v> $2,000.00 </c:v>
                </c:pt>
                <c:pt idx="22">
                  <c:v> $2,100.00 </c:v>
                </c:pt>
                <c:pt idx="23">
                  <c:v> $900.00 </c:v>
                </c:pt>
              </c:strCache>
            </c:strRef>
          </c:cat>
          <c:val>
            <c:numRef>
              <c:f>'EVM Sprint 3 – 76B12'!$D$25:$O$25</c:f>
              <c:numCache>
                <c:formatCode>_-"$"* #,##0_-;\-"$"* #,##0_-;_-"$"* "-"??_-;_-@_-</c:formatCode>
                <c:ptCount val="12"/>
                <c:pt idx="0">
                  <c:v>2922.5</c:v>
                </c:pt>
                <c:pt idx="1">
                  <c:v>5845</c:v>
                </c:pt>
                <c:pt idx="2">
                  <c:v>9243.5</c:v>
                </c:pt>
                <c:pt idx="3">
                  <c:v>11844</c:v>
                </c:pt>
                <c:pt idx="4">
                  <c:v>16145.5</c:v>
                </c:pt>
                <c:pt idx="5">
                  <c:v>20846</c:v>
                </c:pt>
                <c:pt idx="6">
                  <c:v>20846</c:v>
                </c:pt>
                <c:pt idx="7">
                  <c:v>20846</c:v>
                </c:pt>
                <c:pt idx="8">
                  <c:v>20846</c:v>
                </c:pt>
                <c:pt idx="9">
                  <c:v>20846</c:v>
                </c:pt>
                <c:pt idx="10">
                  <c:v>20846</c:v>
                </c:pt>
                <c:pt idx="11">
                  <c:v>20846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18-4145-B259-9D44F5CD5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14144"/>
        <c:axId val="19717260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'EVM Sprint 3 – 76B12'!$C$21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/>
                </c:spPr>
                <c:cat>
                  <c:strRef>
                    <c:extLst>
                      <c:ext uri="{02D57815-91ED-43cb-92C2-25804820EDAC}">
                        <c15:formulaRef>
                          <c15:sqref>'EVM Sprint 3 – 76B12'!$D$17:$O$19</c15:sqref>
                        </c15:formulaRef>
                      </c:ext>
                    </c:extLst>
                    <c:strCache>
                      <c:ptCount val="24"/>
                      <c:pt idx="0">
                        <c:v>Semana 1</c:v>
                      </c:pt>
                      <c:pt idx="1">
                        <c:v>Semana 2</c:v>
                      </c:pt>
                      <c:pt idx="2">
                        <c:v>Semana 3</c:v>
                      </c:pt>
                      <c:pt idx="3">
                        <c:v>Semana 4</c:v>
                      </c:pt>
                      <c:pt idx="4">
                        <c:v>Semana 5</c:v>
                      </c:pt>
                      <c:pt idx="5">
                        <c:v>Semana 6</c:v>
                      </c:pt>
                      <c:pt idx="6">
                        <c:v>Semana 7</c:v>
                      </c:pt>
                      <c:pt idx="7">
                        <c:v>Semana 8</c:v>
                      </c:pt>
                      <c:pt idx="8">
                        <c:v>Semana 9</c:v>
                      </c:pt>
                      <c:pt idx="9">
                        <c:v>Semana 10</c:v>
                      </c:pt>
                      <c:pt idx="10">
                        <c:v>Semana 11</c:v>
                      </c:pt>
                      <c:pt idx="11">
                        <c:v>Semana 12</c:v>
                      </c:pt>
                      <c:pt idx="12">
                        <c:v> $2,000.00 </c:v>
                      </c:pt>
                      <c:pt idx="13">
                        <c:v> $2,000.00 </c:v>
                      </c:pt>
                      <c:pt idx="14">
                        <c:v> $3,400.00 </c:v>
                      </c:pt>
                      <c:pt idx="15">
                        <c:v> $2,600.00 </c:v>
                      </c:pt>
                      <c:pt idx="16">
                        <c:v> $4,300.00 </c:v>
                      </c:pt>
                      <c:pt idx="17">
                        <c:v> $4,700.00 </c:v>
                      </c:pt>
                      <c:pt idx="18">
                        <c:v> $4,500.00 </c:v>
                      </c:pt>
                      <c:pt idx="19">
                        <c:v> $3,500.00 </c:v>
                      </c:pt>
                      <c:pt idx="20">
                        <c:v> $3,000.00 </c:v>
                      </c:pt>
                      <c:pt idx="21">
                        <c:v> $2,000.00 </c:v>
                      </c:pt>
                      <c:pt idx="22">
                        <c:v> $2,100.00 </c:v>
                      </c:pt>
                      <c:pt idx="23">
                        <c:v> $900.00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'EVM Sprint 3 – 76B12'!$D$21:$O$21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1800</c:v>
                      </c:pt>
                      <c:pt idx="1">
                        <c:v>1900</c:v>
                      </c:pt>
                      <c:pt idx="2">
                        <c:v>3200</c:v>
                      </c:pt>
                      <c:pt idx="3">
                        <c:v>2500</c:v>
                      </c:pt>
                      <c:pt idx="4">
                        <c:v>4200</c:v>
                      </c:pt>
                      <c:pt idx="5">
                        <c:v>4600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E18-4145-B259-9D44F5CD501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3 – 76B12'!$C$23</c15:sqref>
                        </c15:formulaRef>
                      </c:ext>
                    </c:extLst>
                    <c:strCache>
                      <c:ptCount val="1"/>
                      <c:pt idx="0">
                        <c:v>%comp</c:v>
                      </c:pt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3 – 76B12'!$D$17:$O$19</c15:sqref>
                        </c15:formulaRef>
                      </c:ext>
                    </c:extLst>
                    <c:strCache>
                      <c:ptCount val="24"/>
                      <c:pt idx="0">
                        <c:v>Semana 1</c:v>
                      </c:pt>
                      <c:pt idx="1">
                        <c:v>Semana 2</c:v>
                      </c:pt>
                      <c:pt idx="2">
                        <c:v>Semana 3</c:v>
                      </c:pt>
                      <c:pt idx="3">
                        <c:v>Semana 4</c:v>
                      </c:pt>
                      <c:pt idx="4">
                        <c:v>Semana 5</c:v>
                      </c:pt>
                      <c:pt idx="5">
                        <c:v>Semana 6</c:v>
                      </c:pt>
                      <c:pt idx="6">
                        <c:v>Semana 7</c:v>
                      </c:pt>
                      <c:pt idx="7">
                        <c:v>Semana 8</c:v>
                      </c:pt>
                      <c:pt idx="8">
                        <c:v>Semana 9</c:v>
                      </c:pt>
                      <c:pt idx="9">
                        <c:v>Semana 10</c:v>
                      </c:pt>
                      <c:pt idx="10">
                        <c:v>Semana 11</c:v>
                      </c:pt>
                      <c:pt idx="11">
                        <c:v>Semana 12</c:v>
                      </c:pt>
                      <c:pt idx="12">
                        <c:v> $2,000.00 </c:v>
                      </c:pt>
                      <c:pt idx="13">
                        <c:v> $2,000.00 </c:v>
                      </c:pt>
                      <c:pt idx="14">
                        <c:v> $3,400.00 </c:v>
                      </c:pt>
                      <c:pt idx="15">
                        <c:v> $2,600.00 </c:v>
                      </c:pt>
                      <c:pt idx="16">
                        <c:v> $4,300.00 </c:v>
                      </c:pt>
                      <c:pt idx="17">
                        <c:v> $4,700.00 </c:v>
                      </c:pt>
                      <c:pt idx="18">
                        <c:v> $4,500.00 </c:v>
                      </c:pt>
                      <c:pt idx="19">
                        <c:v> $3,500.00 </c:v>
                      </c:pt>
                      <c:pt idx="20">
                        <c:v> $3,000.00 </c:v>
                      </c:pt>
                      <c:pt idx="21">
                        <c:v> $2,000.00 </c:v>
                      </c:pt>
                      <c:pt idx="22">
                        <c:v> $2,100.00 </c:v>
                      </c:pt>
                      <c:pt idx="23">
                        <c:v> $900.00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'EVM Sprint 3 – 76B12'!$D$23:$O$23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8.3500000000000005E-2</c:v>
                      </c:pt>
                      <c:pt idx="1">
                        <c:v>8.3500000000000005E-2</c:v>
                      </c:pt>
                      <c:pt idx="2" formatCode="#,##0">
                        <c:v>9.7100000000000006E-2</c:v>
                      </c:pt>
                      <c:pt idx="3" formatCode="#,##0">
                        <c:v>7.4300000000000005E-2</c:v>
                      </c:pt>
                      <c:pt idx="4" formatCode="#,##0">
                        <c:v>0.1229</c:v>
                      </c:pt>
                      <c:pt idx="5" formatCode="#,##0">
                        <c:v>0.1343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E18-4145-B259-9D44F5CD50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3 – 76B12'!$C$24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'EVM Sprint 3 – 76B12'!$D$17:$O$19</c15:sqref>
                        </c15:formulaRef>
                      </c:ext>
                    </c:extLst>
                    <c:strCache>
                      <c:ptCount val="24"/>
                      <c:pt idx="0">
                        <c:v>Semana 1</c:v>
                      </c:pt>
                      <c:pt idx="1">
                        <c:v>Semana 2</c:v>
                      </c:pt>
                      <c:pt idx="2">
                        <c:v>Semana 3</c:v>
                      </c:pt>
                      <c:pt idx="3">
                        <c:v>Semana 4</c:v>
                      </c:pt>
                      <c:pt idx="4">
                        <c:v>Semana 5</c:v>
                      </c:pt>
                      <c:pt idx="5">
                        <c:v>Semana 6</c:v>
                      </c:pt>
                      <c:pt idx="6">
                        <c:v>Semana 7</c:v>
                      </c:pt>
                      <c:pt idx="7">
                        <c:v>Semana 8</c:v>
                      </c:pt>
                      <c:pt idx="8">
                        <c:v>Semana 9</c:v>
                      </c:pt>
                      <c:pt idx="9">
                        <c:v>Semana 10</c:v>
                      </c:pt>
                      <c:pt idx="10">
                        <c:v>Semana 11</c:v>
                      </c:pt>
                      <c:pt idx="11">
                        <c:v>Semana 12</c:v>
                      </c:pt>
                      <c:pt idx="12">
                        <c:v> $2,000.00 </c:v>
                      </c:pt>
                      <c:pt idx="13">
                        <c:v> $2,000.00 </c:v>
                      </c:pt>
                      <c:pt idx="14">
                        <c:v> $3,400.00 </c:v>
                      </c:pt>
                      <c:pt idx="15">
                        <c:v> $2,600.00 </c:v>
                      </c:pt>
                      <c:pt idx="16">
                        <c:v> $4,300.00 </c:v>
                      </c:pt>
                      <c:pt idx="17">
                        <c:v> $4,700.00 </c:v>
                      </c:pt>
                      <c:pt idx="18">
                        <c:v> $4,500.00 </c:v>
                      </c:pt>
                      <c:pt idx="19">
                        <c:v> $3,500.00 </c:v>
                      </c:pt>
                      <c:pt idx="20">
                        <c:v> $3,000.00 </c:v>
                      </c:pt>
                      <c:pt idx="21">
                        <c:v> $2,000.00 </c:v>
                      </c:pt>
                      <c:pt idx="22">
                        <c:v> $2,100.00 </c:v>
                      </c:pt>
                      <c:pt idx="23">
                        <c:v> $900.00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'EVM Sprint 3 – 76B12'!$D$24:$O$24</c15:sqref>
                        </c15:formulaRef>
                      </c:ext>
                    </c:extLst>
                    <c:numCache>
                      <c:formatCode>_-"$"* #,##0_-;\-"$"* #,##0_-;_-"$"* "-"??_-;_-@_-</c:formatCode>
                      <c:ptCount val="12"/>
                      <c:pt idx="0">
                        <c:v>2922.5</c:v>
                      </c:pt>
                      <c:pt idx="1">
                        <c:v>2922.5</c:v>
                      </c:pt>
                      <c:pt idx="2">
                        <c:v>3398.5</c:v>
                      </c:pt>
                      <c:pt idx="3">
                        <c:v>2600.5</c:v>
                      </c:pt>
                      <c:pt idx="4">
                        <c:v>4301.5</c:v>
                      </c:pt>
                      <c:pt idx="5">
                        <c:v>4700.5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E18-4145-B259-9D44F5CD5010}"/>
                  </c:ext>
                </c:extLst>
              </c15:ser>
            </c15:filteredLineSeries>
          </c:ext>
        </c:extLst>
      </c:lineChart>
      <c:catAx>
        <c:axId val="1942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97172608"/>
        <c:crosses val="autoZero"/>
        <c:auto val="1"/>
        <c:lblAlgn val="ctr"/>
        <c:lblOffset val="100"/>
        <c:tickLblSkip val="1"/>
        <c:noMultiLvlLbl val="0"/>
      </c:catAx>
      <c:valAx>
        <c:axId val="197172608"/>
        <c:scaling>
          <c:orientation val="minMax"/>
        </c:scaling>
        <c:delete val="0"/>
        <c:axPos val="l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9421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4.3105427388552962E-2"/>
          <c:h val="0.1292103707526830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6318307030326414E-2"/>
          <c:y val="3.9607659394691193E-2"/>
          <c:w val="0.76308878095630217"/>
          <c:h val="0.87102187435392675"/>
        </c:manualLayout>
      </c:layout>
      <c:lineChart>
        <c:grouping val="standard"/>
        <c:varyColors val="0"/>
        <c:ser>
          <c:idx val="0"/>
          <c:order val="0"/>
          <c:tx>
            <c:strRef>
              <c:f>Ejemplo!$C$19</c:f>
              <c:strCache>
                <c:ptCount val="1"/>
                <c:pt idx="0">
                  <c:v>PV</c:v>
                </c:pt>
              </c:strCache>
            </c:strRef>
          </c:tx>
          <c:spPr>
            <a:ln w="25400">
              <a:solidFill>
                <a:schemeClr val="tx2"/>
              </a:solidFill>
              <a:prstDash val="solid"/>
            </a:ln>
          </c:spPr>
          <c:marker>
            <c:symbol val="none"/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Ejemplo!$D$19:$O$19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9-42FB-8FA2-7FC19BF26CE4}"/>
            </c:ext>
          </c:extLst>
        </c:ser>
        <c:ser>
          <c:idx val="1"/>
          <c:order val="1"/>
          <c:tx>
            <c:strRef>
              <c:f>Ejemplo!$C$21</c:f>
              <c:strCache>
                <c:ptCount val="1"/>
                <c:pt idx="0">
                  <c:v>AC</c:v>
                </c:pt>
              </c:strCache>
            </c:strRef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Ejemplo!$D$21:$O$21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9-42FB-8FA2-7FC19BF26CE4}"/>
            </c:ext>
          </c:extLst>
        </c:ser>
        <c:ser>
          <c:idx val="2"/>
          <c:order val="2"/>
          <c:tx>
            <c:strRef>
              <c:f>Ejemplo!$C$24</c:f>
              <c:strCache>
                <c:ptCount val="1"/>
                <c:pt idx="0">
                  <c:v>EV</c:v>
                </c:pt>
              </c:strCache>
            </c:strRef>
          </c:tx>
          <c:spPr>
            <a:ln w="25400">
              <a:solidFill>
                <a:srgbClr val="7030A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cat>
            <c:strRef>
              <c:f>Ejemplo!$D$17:$O$17</c:f>
              <c:strCache>
                <c:ptCount val="12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  <c:pt idx="6">
                  <c:v>Mes 7</c:v>
                </c:pt>
                <c:pt idx="7">
                  <c:v>Mes 8</c:v>
                </c:pt>
                <c:pt idx="8">
                  <c:v>Mes 9</c:v>
                </c:pt>
                <c:pt idx="9">
                  <c:v>Mes 10</c:v>
                </c:pt>
                <c:pt idx="10">
                  <c:v>Mes 11</c:v>
                </c:pt>
                <c:pt idx="11">
                  <c:v>Mes 12</c:v>
                </c:pt>
              </c:strCache>
            </c:strRef>
          </c:cat>
          <c:val>
            <c:numRef>
              <c:f>Ejemplo!$D$24:$O$24</c:f>
              <c:numCache>
                <c:formatCode>_-"$"* #,##0_-;\-"$"* #,##0_-;_-"$"* "-"??_-;_-@_-</c:formatCode>
                <c:ptCount val="12"/>
                <c:pt idx="0">
                  <c:v>18300</c:v>
                </c:pt>
                <c:pt idx="1">
                  <c:v>54900</c:v>
                </c:pt>
                <c:pt idx="2">
                  <c:v>103700</c:v>
                </c:pt>
                <c:pt idx="3">
                  <c:v>176900</c:v>
                </c:pt>
                <c:pt idx="4">
                  <c:v>280600</c:v>
                </c:pt>
                <c:pt idx="5">
                  <c:v>402600</c:v>
                </c:pt>
                <c:pt idx="6">
                  <c:v>549000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B9-42FB-8FA2-7FC19BF2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81504"/>
        <c:axId val="165783424"/>
      </c:lineChart>
      <c:catAx>
        <c:axId val="165781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65783424"/>
        <c:crosses val="autoZero"/>
        <c:auto val="1"/>
        <c:lblAlgn val="ctr"/>
        <c:lblOffset val="100"/>
        <c:tickLblSkip val="1"/>
        <c:noMultiLvlLbl val="0"/>
      </c:catAx>
      <c:valAx>
        <c:axId val="1657834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657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392287632928903"/>
          <c:y val="0.40323508525919333"/>
          <c:w val="8.5804249437789318E-2"/>
          <c:h val="0.20066444417477911"/>
        </c:manualLayout>
      </c:layout>
      <c:overlay val="0"/>
      <c:spPr>
        <a:ln>
          <a:prstDash val="solid"/>
        </a:ln>
      </c:sp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9838" y="469174"/>
          <a:ext cx="2305050" cy="91353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197068</xdr:colOff>
      <xdr:row>25</xdr:row>
      <xdr:rowOff>186119</xdr:rowOff>
    </xdr:from>
    <xdr:to>
      <xdr:col>18</xdr:col>
      <xdr:colOff>15733</xdr:colOff>
      <xdr:row>48</xdr:row>
      <xdr:rowOff>11208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7963E3A-69EC-4916-9076-46139E86D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117671</xdr:colOff>
      <xdr:row>24</xdr:row>
      <xdr:rowOff>142412</xdr:rowOff>
    </xdr:from>
    <xdr:to>
      <xdr:col>15</xdr:col>
      <xdr:colOff>10514</xdr:colOff>
      <xdr:row>43</xdr:row>
      <xdr:rowOff>159420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729838</xdr:colOff>
      <xdr:row>2</xdr:row>
      <xdr:rowOff>73330</xdr:rowOff>
    </xdr:from>
    <xdr:to>
      <xdr:col>1</xdr:col>
      <xdr:colOff>3036125</xdr:colOff>
      <xdr:row>6</xdr:row>
      <xdr:rowOff>133325</xdr:rowOff>
    </xdr:to>
    <xdr:pic>
      <xdr:nvPicPr>
        <xdr:cNvPr id="10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29838" y="473380"/>
          <a:ext cx="2306287" cy="91724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tilla%20EV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VM%20Sprint%202%20&#8211;%2076B12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nat\Downloads\Valor_Ganado.xlsx" TargetMode="External"/><Relationship Id="rId1" Type="http://schemas.openxmlformats.org/officeDocument/2006/relationships/externalLinkPath" Target="Valor_Gan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 EVM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M Sprint 2 – 76B1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illa EVM"/>
      <sheetName val="Ejemplo"/>
    </sheetNames>
    <sheetDataSet>
      <sheetData sheetId="0">
        <row r="17">
          <cell r="D17" t="str">
            <v>Semana 1</v>
          </cell>
          <cell r="E17" t="str">
            <v>Semana 2</v>
          </cell>
          <cell r="F17" t="str">
            <v>Semana 3</v>
          </cell>
          <cell r="G17" t="str">
            <v>Semana 4</v>
          </cell>
          <cell r="H17" t="str">
            <v>Semana 5</v>
          </cell>
          <cell r="I17" t="str">
            <v>Semana 6</v>
          </cell>
          <cell r="J17" t="str">
            <v>Semana 7</v>
          </cell>
          <cell r="K17" t="str">
            <v>Semana 8</v>
          </cell>
          <cell r="L17" t="str">
            <v>Semana 9</v>
          </cell>
          <cell r="M17" t="str">
            <v>Semana 10</v>
          </cell>
          <cell r="N17" t="str">
            <v>Semana 11</v>
          </cell>
          <cell r="O17" t="str">
            <v>Semana 12</v>
          </cell>
        </row>
        <row r="20">
          <cell r="C20" t="str">
            <v>PV</v>
          </cell>
          <cell r="D20">
            <v>2000</v>
          </cell>
          <cell r="E20">
            <v>4000</v>
          </cell>
          <cell r="F20">
            <v>7400</v>
          </cell>
          <cell r="G20">
            <v>10000</v>
          </cell>
          <cell r="H20">
            <v>14300</v>
          </cell>
          <cell r="I20">
            <v>19000</v>
          </cell>
          <cell r="J20">
            <v>23500</v>
          </cell>
          <cell r="K20">
            <v>27000</v>
          </cell>
          <cell r="L20">
            <v>30000</v>
          </cell>
          <cell r="M20">
            <v>32000</v>
          </cell>
          <cell r="N20">
            <v>34100</v>
          </cell>
          <cell r="O20">
            <v>35000</v>
          </cell>
        </row>
        <row r="22">
          <cell r="C22" t="str">
            <v>AC</v>
          </cell>
          <cell r="D22">
            <v>1800</v>
          </cell>
          <cell r="E22">
            <v>3700</v>
          </cell>
          <cell r="F22">
            <v>6900</v>
          </cell>
          <cell r="G22">
            <v>9300</v>
          </cell>
          <cell r="H22">
            <v>13400</v>
          </cell>
          <cell r="I22">
            <v>17900</v>
          </cell>
          <cell r="J22">
            <v>22200</v>
          </cell>
          <cell r="K22">
            <v>25600</v>
          </cell>
          <cell r="L22">
            <v>28400</v>
          </cell>
          <cell r="M22">
            <v>30300</v>
          </cell>
          <cell r="N22">
            <v>32000</v>
          </cell>
          <cell r="O22">
            <v>32900</v>
          </cell>
        </row>
        <row r="25">
          <cell r="C25" t="str">
            <v>EV</v>
          </cell>
          <cell r="D25">
            <v>2922.5</v>
          </cell>
          <cell r="E25">
            <v>5845</v>
          </cell>
          <cell r="F25">
            <v>5845</v>
          </cell>
          <cell r="G25">
            <v>5845</v>
          </cell>
          <cell r="H25">
            <v>5845</v>
          </cell>
          <cell r="I25">
            <v>5845</v>
          </cell>
          <cell r="J25">
            <v>5845</v>
          </cell>
          <cell r="K25">
            <v>5845</v>
          </cell>
          <cell r="L25">
            <v>5845</v>
          </cell>
          <cell r="M25">
            <v>5845</v>
          </cell>
          <cell r="N25">
            <v>5845</v>
          </cell>
          <cell r="O25">
            <v>5845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23" displayName="Table13423" ref="D17:O25" totalsRowShown="0" headerRowDxfId="1" dataDxfId="0" headerRowBorderDxfId="60" tableBorderDxfId="59" totalsRowBorderDxfId="58">
  <tableColumns count="12">
    <tableColumn id="1" xr3:uid="{00000000-0010-0000-0000-000001000000}" name="Semana 1" dataDxfId="13"/>
    <tableColumn id="2" xr3:uid="{00000000-0010-0000-0000-000002000000}" name="Semana 2" dataDxfId="12"/>
    <tableColumn id="3" xr3:uid="{00000000-0010-0000-0000-000003000000}" name="Semana 3" dataDxfId="11"/>
    <tableColumn id="4" xr3:uid="{00000000-0010-0000-0000-000004000000}" name="Semana 4" dataDxfId="10"/>
    <tableColumn id="5" xr3:uid="{00000000-0010-0000-0000-000005000000}" name="Semana 5" dataDxfId="9"/>
    <tableColumn id="6" xr3:uid="{00000000-0010-0000-0000-000006000000}" name="Semana 6" dataDxfId="8"/>
    <tableColumn id="7" xr3:uid="{00000000-0010-0000-0000-000007000000}" name="Semana 7" dataDxfId="7"/>
    <tableColumn id="8" xr3:uid="{00000000-0010-0000-0000-000008000000}" name="Semana 8" dataDxfId="6"/>
    <tableColumn id="9" xr3:uid="{00000000-0010-0000-0000-000009000000}" name="Semana 9" dataDxfId="5"/>
    <tableColumn id="10" xr3:uid="{00000000-0010-0000-0000-00000A000000}" name="Semana 10" dataDxfId="4"/>
    <tableColumn id="11" xr3:uid="{00000000-0010-0000-0000-00000B000000}" name="Semana 11" dataDxfId="3"/>
    <tableColumn id="12" xr3:uid="{00000000-0010-0000-0000-00000C000000}" name="Semana 12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4235" displayName="Table134235" ref="D17:O24" totalsRowShown="0" headerRowDxfId="57" dataDxfId="55" headerRowBorderDxfId="56" tableBorderDxfId="54" totalsRowBorderDxfId="53">
  <tableColumns count="12">
    <tableColumn id="1" xr3:uid="{00000000-0010-0000-0100-000001000000}" name="Mes 1" dataDxfId="52"/>
    <tableColumn id="2" xr3:uid="{00000000-0010-0000-0100-000002000000}" name="Mes 2" dataDxfId="51"/>
    <tableColumn id="3" xr3:uid="{00000000-0010-0000-0100-000003000000}" name="Mes 3" dataDxfId="50"/>
    <tableColumn id="4" xr3:uid="{00000000-0010-0000-0100-000004000000}" name="Mes 4" dataDxfId="49"/>
    <tableColumn id="5" xr3:uid="{00000000-0010-0000-0100-000005000000}" name="Mes 5" dataDxfId="48"/>
    <tableColumn id="6" xr3:uid="{00000000-0010-0000-0100-000006000000}" name="Mes 6" dataDxfId="47"/>
    <tableColumn id="7" xr3:uid="{00000000-0010-0000-0100-000007000000}" name="Mes 7" dataDxfId="46"/>
    <tableColumn id="8" xr3:uid="{00000000-0010-0000-0100-000008000000}" name="Mes 8" dataDxfId="45"/>
    <tableColumn id="9" xr3:uid="{00000000-0010-0000-0100-000009000000}" name="Mes 9" dataDxfId="44"/>
    <tableColumn id="10" xr3:uid="{00000000-0010-0000-0100-00000A000000}" name="Mes 10" dataDxfId="43"/>
    <tableColumn id="11" xr3:uid="{00000000-0010-0000-0100-00000B000000}" name="Mes 11" dataDxfId="42"/>
    <tableColumn id="12" xr3:uid="{00000000-0010-0000-0100-00000C000000}" name="Mes 12" dataDxfId="4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9"/>
  <sheetViews>
    <sheetView showGridLines="0" tabSelected="1" zoomScale="87" zoomScaleNormal="87" workbookViewId="0">
      <selection activeCell="H4" sqref="H4"/>
    </sheetView>
  </sheetViews>
  <sheetFormatPr baseColWidth="10" defaultColWidth="9.140625" defaultRowHeight="15" x14ac:dyDescent="0.25"/>
  <cols>
    <col min="2" max="2" width="60.85546875" customWidth="1"/>
    <col min="3" max="3" width="22.7109375" customWidth="1"/>
    <col min="4" max="4" width="10.5703125" customWidth="1"/>
    <col min="5" max="6" width="15.140625" bestFit="1" customWidth="1"/>
    <col min="7" max="7" width="15.28515625" bestFit="1" customWidth="1"/>
    <col min="8" max="9" width="15.140625" bestFit="1" customWidth="1"/>
    <col min="10" max="10" width="10.42578125" customWidth="1"/>
    <col min="11" max="11" width="15.140625" bestFit="1" customWidth="1"/>
    <col min="12" max="12" width="10.5703125" customWidth="1"/>
    <col min="13" max="13" width="11.5703125" customWidth="1"/>
    <col min="14" max="14" width="10.5703125" customWidth="1"/>
    <col min="15" max="15" width="11.28515625" customWidth="1"/>
    <col min="17" max="17" width="10.28515625" bestFit="1" customWidth="1"/>
  </cols>
  <sheetData>
    <row r="1" spans="2:18" ht="15.75" x14ac:dyDescent="0.3">
      <c r="B1" s="7"/>
      <c r="C1" s="7"/>
      <c r="D1" s="7"/>
      <c r="E1" s="7"/>
      <c r="F1" s="7"/>
      <c r="G1" s="7"/>
      <c r="H1" s="7"/>
      <c r="I1" s="7"/>
      <c r="J1" s="7"/>
      <c r="K1" s="7"/>
    </row>
    <row r="2" spans="2:18" ht="15.75" x14ac:dyDescent="0.3">
      <c r="B2" s="7"/>
      <c r="C2" s="7"/>
      <c r="D2" s="7"/>
      <c r="E2" s="7"/>
      <c r="F2" s="7"/>
      <c r="G2" s="7"/>
      <c r="H2" s="7"/>
      <c r="I2" s="7"/>
      <c r="J2" s="7"/>
      <c r="K2" s="7"/>
    </row>
    <row r="3" spans="2:18" ht="15.75" x14ac:dyDescent="0.3">
      <c r="B3" s="7"/>
      <c r="C3" s="7"/>
      <c r="D3" s="7"/>
      <c r="E3" s="7"/>
      <c r="F3" s="7"/>
      <c r="G3" s="7"/>
      <c r="H3" s="7"/>
      <c r="I3" s="7"/>
      <c r="J3" s="7"/>
      <c r="K3" s="7"/>
    </row>
    <row r="4" spans="2:18" ht="20.65" customHeight="1" x14ac:dyDescent="0.35">
      <c r="B4" s="7"/>
      <c r="C4" s="7"/>
      <c r="D4" s="9" t="s">
        <v>0</v>
      </c>
      <c r="F4" s="7"/>
      <c r="G4" s="7"/>
      <c r="H4" s="7"/>
      <c r="I4" s="7"/>
      <c r="J4" s="7"/>
      <c r="K4" s="7"/>
    </row>
    <row r="5" spans="2:18" ht="15.75" x14ac:dyDescent="0.3">
      <c r="B5" s="8"/>
      <c r="C5" s="8"/>
      <c r="D5" s="7"/>
      <c r="E5" s="7"/>
      <c r="F5" s="7"/>
      <c r="G5" s="7"/>
      <c r="H5" s="7"/>
      <c r="I5" s="7"/>
      <c r="J5" s="7"/>
      <c r="K5" s="7"/>
    </row>
    <row r="6" spans="2:18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5"/>
      <c r="L6" s="12"/>
      <c r="M6" s="12"/>
      <c r="N6" s="59"/>
      <c r="O6" s="58"/>
      <c r="P6" s="5"/>
    </row>
    <row r="7" spans="2:18" ht="16.5" customHeight="1" x14ac:dyDescent="0.3">
      <c r="B7" s="7"/>
      <c r="C7" s="7"/>
      <c r="D7" s="7"/>
      <c r="E7" s="7"/>
      <c r="F7" s="7"/>
      <c r="G7" s="7"/>
      <c r="H7" s="7"/>
      <c r="I7" s="7"/>
      <c r="J7" s="7"/>
      <c r="K7" s="6"/>
      <c r="L7" s="13"/>
      <c r="M7" s="13"/>
      <c r="N7" s="57"/>
      <c r="O7" s="58"/>
      <c r="P7" s="6"/>
    </row>
    <row r="8" spans="2:18" ht="16.5" customHeight="1" x14ac:dyDescent="0.25">
      <c r="B8" s="66" t="s">
        <v>1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"/>
    </row>
    <row r="9" spans="2:18" ht="16.5" customHeight="1" thickBot="1" x14ac:dyDescent="0.3"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Q9" s="6"/>
    </row>
    <row r="10" spans="2:18" ht="16.5" customHeight="1" x14ac:dyDescent="0.25">
      <c r="B10" s="69" t="s">
        <v>2</v>
      </c>
      <c r="C10" s="70" t="s">
        <v>3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2"/>
      <c r="Q10" s="6"/>
    </row>
    <row r="11" spans="2:18" ht="16.5" customHeight="1" x14ac:dyDescent="0.25">
      <c r="B11" s="73" t="s">
        <v>4</v>
      </c>
      <c r="C11" s="74" t="s">
        <v>5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6"/>
      <c r="Q11" s="6"/>
    </row>
    <row r="12" spans="2:18" ht="16.5" customHeight="1" thickBot="1" x14ac:dyDescent="0.3">
      <c r="B12" s="77" t="s">
        <v>6</v>
      </c>
      <c r="C12" s="78">
        <v>46164</v>
      </c>
      <c r="D12" s="79"/>
      <c r="E12" s="80" t="s">
        <v>7</v>
      </c>
      <c r="F12" s="81"/>
      <c r="G12" s="78">
        <v>46127</v>
      </c>
      <c r="H12" s="82"/>
      <c r="I12" s="83"/>
      <c r="J12" s="80" t="s">
        <v>8</v>
      </c>
      <c r="K12" s="81"/>
      <c r="L12" s="78" t="s">
        <v>9</v>
      </c>
      <c r="M12" s="84"/>
      <c r="N12" s="85"/>
      <c r="O12" s="86"/>
      <c r="P12" s="6"/>
    </row>
    <row r="13" spans="2:18" ht="16.5" customHeight="1" x14ac:dyDescent="0.25">
      <c r="B13" s="68"/>
      <c r="C13" s="87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6"/>
    </row>
    <row r="14" spans="2:18" ht="16.5" customHeight="1" x14ac:dyDescent="0.25">
      <c r="B14" s="68"/>
      <c r="C14" s="68"/>
      <c r="D14" s="68"/>
      <c r="E14" s="68"/>
      <c r="F14" s="68"/>
      <c r="G14" s="68"/>
      <c r="H14" s="68"/>
      <c r="I14" s="68"/>
      <c r="J14" s="68"/>
      <c r="K14" s="89"/>
      <c r="L14" s="90"/>
      <c r="M14" s="91"/>
      <c r="N14" s="92"/>
      <c r="O14" s="93"/>
      <c r="P14" s="6"/>
      <c r="Q14" s="3"/>
    </row>
    <row r="15" spans="2:18" ht="16.5" customHeight="1" thickBot="1" x14ac:dyDescent="0.3">
      <c r="B15" s="68"/>
      <c r="C15" s="68"/>
      <c r="D15" s="68"/>
      <c r="E15" s="68"/>
      <c r="F15" s="68"/>
      <c r="G15" s="68"/>
      <c r="H15" s="68"/>
      <c r="I15" s="68"/>
      <c r="J15" s="68"/>
      <c r="K15" s="89"/>
      <c r="L15" s="90"/>
      <c r="M15" s="91"/>
      <c r="N15" s="92"/>
      <c r="O15" s="93"/>
      <c r="P15" s="6"/>
      <c r="Q15" s="3"/>
    </row>
    <row r="16" spans="2:18" ht="16.5" customHeight="1" x14ac:dyDescent="0.25">
      <c r="B16" s="94"/>
      <c r="C16" s="95"/>
      <c r="D16" s="96">
        <v>2026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8"/>
      <c r="P16" s="2"/>
      <c r="R16" s="3"/>
    </row>
    <row r="17" spans="2:15" ht="15.75" x14ac:dyDescent="0.25">
      <c r="B17" s="99"/>
      <c r="C17" s="100"/>
      <c r="D17" s="101" t="s">
        <v>10</v>
      </c>
      <c r="E17" s="101" t="s">
        <v>11</v>
      </c>
      <c r="F17" s="101" t="s">
        <v>12</v>
      </c>
      <c r="G17" s="101" t="s">
        <v>13</v>
      </c>
      <c r="H17" s="101" t="s">
        <v>14</v>
      </c>
      <c r="I17" s="101" t="s">
        <v>15</v>
      </c>
      <c r="J17" s="101" t="s">
        <v>16</v>
      </c>
      <c r="K17" s="101" t="s">
        <v>17</v>
      </c>
      <c r="L17" s="101" t="s">
        <v>18</v>
      </c>
      <c r="M17" s="101" t="s">
        <v>19</v>
      </c>
      <c r="N17" s="101" t="s">
        <v>20</v>
      </c>
      <c r="O17" s="101" t="s">
        <v>21</v>
      </c>
    </row>
    <row r="18" spans="2:15" ht="15.75" hidden="1" customHeight="1" thickBot="1" x14ac:dyDescent="0.3">
      <c r="B18" s="102"/>
      <c r="C18" s="68"/>
      <c r="D18" s="103">
        <v>1</v>
      </c>
      <c r="E18" s="104">
        <v>2</v>
      </c>
      <c r="F18" s="104">
        <v>3</v>
      </c>
      <c r="G18" s="104">
        <v>4</v>
      </c>
      <c r="H18" s="104">
        <v>5</v>
      </c>
      <c r="I18" s="104">
        <v>6</v>
      </c>
      <c r="J18" s="104">
        <v>7</v>
      </c>
      <c r="K18" s="104">
        <v>8</v>
      </c>
      <c r="L18" s="104">
        <v>9</v>
      </c>
      <c r="M18" s="104">
        <v>10</v>
      </c>
      <c r="N18" s="104">
        <v>11</v>
      </c>
      <c r="O18" s="105">
        <v>12</v>
      </c>
    </row>
    <row r="19" spans="2:15" ht="15" customHeight="1" x14ac:dyDescent="0.25">
      <c r="B19" s="73" t="s">
        <v>22</v>
      </c>
      <c r="C19" s="101"/>
      <c r="D19" s="106">
        <v>2000</v>
      </c>
      <c r="E19" s="106">
        <v>2000</v>
      </c>
      <c r="F19" s="106">
        <v>3400</v>
      </c>
      <c r="G19" s="106">
        <v>2600</v>
      </c>
      <c r="H19" s="106">
        <v>4300</v>
      </c>
      <c r="I19" s="106">
        <v>4700</v>
      </c>
      <c r="J19" s="106">
        <v>4500</v>
      </c>
      <c r="K19" s="106">
        <v>3500</v>
      </c>
      <c r="L19" s="106">
        <v>3000</v>
      </c>
      <c r="M19" s="106">
        <v>2000</v>
      </c>
      <c r="N19" s="107">
        <v>2100</v>
      </c>
      <c r="O19" s="108">
        <v>900</v>
      </c>
    </row>
    <row r="20" spans="2:15" ht="15" customHeight="1" x14ac:dyDescent="0.25">
      <c r="B20" s="73" t="s">
        <v>23</v>
      </c>
      <c r="C20" s="101" t="s">
        <v>24</v>
      </c>
      <c r="D20" s="109">
        <v>2000</v>
      </c>
      <c r="E20" s="109">
        <v>4000</v>
      </c>
      <c r="F20" s="109">
        <v>7400</v>
      </c>
      <c r="G20" s="109">
        <v>10000</v>
      </c>
      <c r="H20" s="109">
        <v>14300</v>
      </c>
      <c r="I20" s="109">
        <v>19000</v>
      </c>
      <c r="J20" s="109">
        <v>23500</v>
      </c>
      <c r="K20" s="109">
        <v>27000</v>
      </c>
      <c r="L20" s="109">
        <v>30000</v>
      </c>
      <c r="M20" s="109">
        <v>32000</v>
      </c>
      <c r="N20" s="109">
        <v>34100</v>
      </c>
      <c r="O20" s="109">
        <v>35000</v>
      </c>
    </row>
    <row r="21" spans="2:15" ht="15" customHeight="1" x14ac:dyDescent="0.25">
      <c r="B21" s="73" t="s">
        <v>25</v>
      </c>
      <c r="C21" s="101"/>
      <c r="D21" s="110">
        <v>1800</v>
      </c>
      <c r="E21" s="110">
        <v>1900</v>
      </c>
      <c r="F21" s="110">
        <v>3200</v>
      </c>
      <c r="G21" s="110">
        <v>2500</v>
      </c>
      <c r="H21" s="110">
        <v>4200</v>
      </c>
      <c r="I21" s="110">
        <v>4600</v>
      </c>
      <c r="J21" s="110"/>
      <c r="K21" s="110"/>
      <c r="L21" s="110"/>
      <c r="M21" s="110"/>
      <c r="N21" s="110"/>
      <c r="O21" s="111"/>
    </row>
    <row r="22" spans="2:15" ht="15.75" x14ac:dyDescent="0.25">
      <c r="B22" s="73" t="s">
        <v>26</v>
      </c>
      <c r="C22" s="101" t="s">
        <v>27</v>
      </c>
      <c r="D22" s="109">
        <v>1800</v>
      </c>
      <c r="E22" s="109">
        <v>3700</v>
      </c>
      <c r="F22" s="109">
        <v>6900</v>
      </c>
      <c r="G22" s="109">
        <v>9400</v>
      </c>
      <c r="H22" s="109">
        <v>13600</v>
      </c>
      <c r="I22" s="109">
        <v>18200</v>
      </c>
      <c r="J22" s="109"/>
      <c r="K22" s="109"/>
      <c r="L22" s="109"/>
      <c r="M22" s="109"/>
      <c r="N22" s="109"/>
      <c r="O22" s="109"/>
    </row>
    <row r="23" spans="2:15" ht="15.75" x14ac:dyDescent="0.25">
      <c r="B23" s="73" t="s">
        <v>28</v>
      </c>
      <c r="C23" s="101" t="s">
        <v>29</v>
      </c>
      <c r="D23" s="112">
        <v>8.3500000000000005E-2</v>
      </c>
      <c r="E23" s="113">
        <v>8.3500000000000005E-2</v>
      </c>
      <c r="F23" s="114">
        <v>9.7100000000000006E-2</v>
      </c>
      <c r="G23" s="114">
        <v>7.4300000000000005E-2</v>
      </c>
      <c r="H23" s="114">
        <v>0.1229</v>
      </c>
      <c r="I23" s="114">
        <v>0.1343</v>
      </c>
      <c r="J23" s="114"/>
      <c r="K23" s="114"/>
      <c r="L23" s="114"/>
      <c r="M23" s="114"/>
      <c r="N23" s="114"/>
      <c r="O23" s="115"/>
    </row>
    <row r="24" spans="2:15" ht="15.75" x14ac:dyDescent="0.25">
      <c r="B24" s="73" t="s">
        <v>30</v>
      </c>
      <c r="C24" s="101"/>
      <c r="D24" s="109">
        <v>2922.5</v>
      </c>
      <c r="E24" s="109">
        <v>2922.5</v>
      </c>
      <c r="F24" s="109">
        <v>3398.5</v>
      </c>
      <c r="G24" s="109">
        <v>2600.5</v>
      </c>
      <c r="H24" s="109">
        <v>4301.5</v>
      </c>
      <c r="I24" s="109">
        <v>4700.5</v>
      </c>
      <c r="J24" s="109">
        <v>0</v>
      </c>
      <c r="K24" s="109">
        <v>0</v>
      </c>
      <c r="L24" s="109">
        <v>0</v>
      </c>
      <c r="M24" s="109">
        <v>0</v>
      </c>
      <c r="N24" s="109">
        <v>0</v>
      </c>
      <c r="O24" s="109">
        <v>0</v>
      </c>
    </row>
    <row r="25" spans="2:15" ht="15" customHeight="1" thickBot="1" x14ac:dyDescent="0.3">
      <c r="B25" s="77" t="s">
        <v>31</v>
      </c>
      <c r="C25" s="116" t="s">
        <v>32</v>
      </c>
      <c r="D25" s="109">
        <v>2922.5</v>
      </c>
      <c r="E25" s="109">
        <v>5845</v>
      </c>
      <c r="F25" s="109">
        <v>9243.5</v>
      </c>
      <c r="G25" s="109">
        <v>11844</v>
      </c>
      <c r="H25" s="109">
        <v>16145.5</v>
      </c>
      <c r="I25" s="109">
        <v>20846</v>
      </c>
      <c r="J25" s="109">
        <v>20846</v>
      </c>
      <c r="K25" s="109">
        <v>20846</v>
      </c>
      <c r="L25" s="109">
        <v>20846</v>
      </c>
      <c r="M25" s="109">
        <v>20846</v>
      </c>
      <c r="N25" s="109">
        <v>20846</v>
      </c>
      <c r="O25" s="109">
        <v>20846</v>
      </c>
    </row>
    <row r="26" spans="2:15" ht="15.95" customHeight="1" thickBot="1" x14ac:dyDescent="0.3">
      <c r="B26" s="68"/>
      <c r="C26" s="68"/>
      <c r="D26" s="65" t="s">
        <v>33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</row>
    <row r="27" spans="2:15" ht="15.95" customHeight="1" thickBot="1" x14ac:dyDescent="0.3">
      <c r="B27" s="117" t="s">
        <v>34</v>
      </c>
      <c r="C27" s="118">
        <v>35000</v>
      </c>
      <c r="D27" s="65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</row>
    <row r="28" spans="2:15" ht="15.95" customHeight="1" thickBot="1" x14ac:dyDescent="0.3">
      <c r="B28" s="68"/>
      <c r="C28" s="119"/>
      <c r="D28" s="65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</row>
    <row r="29" spans="2:15" ht="15.75" x14ac:dyDescent="0.25">
      <c r="B29" s="120" t="s">
        <v>35</v>
      </c>
      <c r="C29" s="121" t="s">
        <v>36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</row>
    <row r="30" spans="2:15" ht="18.75" customHeight="1" x14ac:dyDescent="0.25">
      <c r="B30" s="122" t="s">
        <v>37</v>
      </c>
      <c r="C30" s="109">
        <v>2646</v>
      </c>
      <c r="D30" s="123"/>
      <c r="E30" s="123"/>
      <c r="F30" s="68"/>
      <c r="G30" s="68"/>
      <c r="H30" s="68"/>
      <c r="I30" s="68"/>
      <c r="J30" s="68"/>
      <c r="K30" s="68"/>
      <c r="L30" s="68"/>
      <c r="M30" s="68"/>
      <c r="N30" s="68"/>
      <c r="O30" s="68"/>
    </row>
    <row r="31" spans="2:15" ht="30.75" customHeight="1" x14ac:dyDescent="0.25">
      <c r="B31" s="122" t="s">
        <v>38</v>
      </c>
      <c r="C31" s="124">
        <v>1846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</row>
    <row r="32" spans="2:15" ht="33" customHeight="1" x14ac:dyDescent="0.25">
      <c r="B32" s="122" t="s">
        <v>39</v>
      </c>
      <c r="C32" s="125">
        <v>1.1453846154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</row>
    <row r="33" spans="2:15" ht="36" customHeight="1" x14ac:dyDescent="0.25">
      <c r="B33" s="122" t="s">
        <v>40</v>
      </c>
      <c r="C33" s="125">
        <v>1.0971578947</v>
      </c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</row>
    <row r="34" spans="2:15" ht="35.25" customHeight="1" thickBot="1" x14ac:dyDescent="0.3">
      <c r="B34" s="126" t="s">
        <v>41</v>
      </c>
      <c r="C34" s="127">
        <v>30557.421087568098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</row>
    <row r="35" spans="2:15" ht="15.75" x14ac:dyDescent="0.25"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</row>
    <row r="36" spans="2:15" ht="15.75" x14ac:dyDescent="0.25"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 spans="2:15" ht="15.75" x14ac:dyDescent="0.25">
      <c r="B37" s="128" t="s">
        <v>42</v>
      </c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</row>
    <row r="38" spans="2:15" ht="15.75" x14ac:dyDescent="0.25">
      <c r="B38" s="128" t="s">
        <v>43</v>
      </c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</row>
    <row r="39" spans="2:15" ht="15.75" x14ac:dyDescent="0.25">
      <c r="B39" s="12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</row>
    <row r="40" spans="2:15" ht="15.75" x14ac:dyDescent="0.25">
      <c r="B40" s="128" t="s">
        <v>44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</row>
    <row r="41" spans="2:15" ht="15.75" x14ac:dyDescent="0.25">
      <c r="B41" s="128" t="s">
        <v>45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</row>
    <row r="42" spans="2:15" ht="15.75" x14ac:dyDescent="0.25">
      <c r="B42" s="12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</row>
    <row r="43" spans="2:15" ht="15.75" x14ac:dyDescent="0.25">
      <c r="B43" s="128" t="s">
        <v>46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spans="2:15" ht="15.75" x14ac:dyDescent="0.25">
      <c r="B44" s="128" t="s">
        <v>47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</row>
    <row r="45" spans="2:15" ht="15.75" x14ac:dyDescent="0.25">
      <c r="B45" s="12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</row>
    <row r="46" spans="2:15" ht="15.75" x14ac:dyDescent="0.25">
      <c r="B46" s="128" t="s">
        <v>48</v>
      </c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</row>
    <row r="47" spans="2:15" ht="15.75" x14ac:dyDescent="0.25">
      <c r="B47" s="128" t="s">
        <v>49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</row>
    <row r="48" spans="2:15" ht="15.75" x14ac:dyDescent="0.25"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</row>
    <row r="49" spans="2:15" ht="15.75" x14ac:dyDescent="0.25"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</row>
  </sheetData>
  <mergeCells count="6">
    <mergeCell ref="D16:O16"/>
    <mergeCell ref="B8:O8"/>
    <mergeCell ref="N15:O15"/>
    <mergeCell ref="N7:O7"/>
    <mergeCell ref="N6:O6"/>
    <mergeCell ref="N14:O14"/>
  </mergeCells>
  <conditionalFormatting sqref="C30:C31">
    <cfRule type="expression" dxfId="40" priority="1">
      <formula>IF(ROUND(($N$14-$N$7)/30,0)=1,1,0)</formula>
    </cfRule>
  </conditionalFormatting>
  <conditionalFormatting sqref="D18:D25 E24">
    <cfRule type="expression" dxfId="39" priority="5">
      <formula>IF(ROUND(($N$14-$N$7)/30,0)=1,1,0)</formula>
    </cfRule>
  </conditionalFormatting>
  <conditionalFormatting sqref="E18:E23 F20:O20">
    <cfRule type="expression" dxfId="38" priority="26">
      <formula>IF(ROUND(($N$14-$N$7)/30,0)=2,1,0)</formula>
    </cfRule>
  </conditionalFormatting>
  <conditionalFormatting sqref="E25">
    <cfRule type="expression" dxfId="37" priority="10">
      <formula>IF(ROUND(($N$14-$N$7)/30,0)=2,1,0)</formula>
    </cfRule>
  </conditionalFormatting>
  <conditionalFormatting sqref="F18:F19 F21:F23">
    <cfRule type="expression" dxfId="36" priority="24">
      <formula>IF(ROUND(($N$14-$N$7)/30,0)=3,1,0)</formula>
    </cfRule>
  </conditionalFormatting>
  <conditionalFormatting sqref="F25">
    <cfRule type="expression" dxfId="35" priority="9">
      <formula>IF(ROUND(($N$14-$N$7)/30,0)=3,1,0)</formula>
    </cfRule>
  </conditionalFormatting>
  <conditionalFormatting sqref="F24:J24">
    <cfRule type="expression" dxfId="34" priority="13">
      <formula>IF(ROUND(($N$14-$N$7)/30,0)=1,1,0)</formula>
    </cfRule>
  </conditionalFormatting>
  <conditionalFormatting sqref="G18:G19 G21:G23">
    <cfRule type="expression" dxfId="33" priority="23">
      <formula>IF(ROUND(($N$14-$N$7)/30,0)=4,1,0)</formula>
    </cfRule>
  </conditionalFormatting>
  <conditionalFormatting sqref="G25">
    <cfRule type="expression" dxfId="32" priority="8">
      <formula>IF(ROUND(($N$14-$N$7)/30,0)=4,1,0)</formula>
    </cfRule>
  </conditionalFormatting>
  <conditionalFormatting sqref="H18:H19 H21:H23">
    <cfRule type="expression" dxfId="31" priority="22">
      <formula>IF(ROUND(($N$14-$N$7)/30,0)=5,1,0)</formula>
    </cfRule>
  </conditionalFormatting>
  <conditionalFormatting sqref="H25">
    <cfRule type="expression" dxfId="30" priority="7">
      <formula>IF(ROUND(($N$14-$N$7)/30,0)=5,1,0)</formula>
    </cfRule>
  </conditionalFormatting>
  <conditionalFormatting sqref="I18:I19 I21:I23">
    <cfRule type="expression" dxfId="29" priority="21">
      <formula>IF(ROUND(($N$14-$N$7)/30,0)=6,1,0)</formula>
    </cfRule>
  </conditionalFormatting>
  <conditionalFormatting sqref="I25">
    <cfRule type="expression" dxfId="28" priority="6">
      <formula>IF(ROUND(($N$14-$N$7)/30,0)=6,1,0)</formula>
    </cfRule>
  </conditionalFormatting>
  <conditionalFormatting sqref="J18:J19 J21:J23">
    <cfRule type="expression" dxfId="27" priority="20">
      <formula>IF(ROUND(($N$14-$N$7)/30,0)=7,1,0)</formula>
    </cfRule>
  </conditionalFormatting>
  <conditionalFormatting sqref="K18:K19 K21">
    <cfRule type="expression" dxfId="26" priority="31">
      <formula>IF(ROUND(($N$14-$N$7)/30,0)=8,1,0)</formula>
    </cfRule>
  </conditionalFormatting>
  <conditionalFormatting sqref="K23">
    <cfRule type="expression" dxfId="25" priority="47">
      <formula>IF(ROUND(($N$14-$N$7)/30,0)=8,1,0)</formula>
    </cfRule>
  </conditionalFormatting>
  <conditionalFormatting sqref="K22:O22">
    <cfRule type="expression" dxfId="24" priority="3">
      <formula>IF(ROUND(($N$14-$N$7)/30,0)=7,1,0)</formula>
    </cfRule>
  </conditionalFormatting>
  <conditionalFormatting sqref="K24:O24">
    <cfRule type="expression" dxfId="23" priority="12">
      <formula>IF(ROUND(($N$14-$N$7)/30,0)=1,1,0)</formula>
    </cfRule>
  </conditionalFormatting>
  <conditionalFormatting sqref="K25:O25">
    <cfRule type="expression" dxfId="22" priority="4">
      <formula>IF(ROUND(($N$14-$N$7)/30,0)=7,1,0)</formula>
    </cfRule>
  </conditionalFormatting>
  <conditionalFormatting sqref="L18:L19 L21">
    <cfRule type="expression" dxfId="21" priority="30">
      <formula>IF(ROUND(($N$14-$N$7)/30,0)=9,1,0)</formula>
    </cfRule>
  </conditionalFormatting>
  <conditionalFormatting sqref="L23">
    <cfRule type="expression" dxfId="20" priority="48">
      <formula>IF(ROUND(($N$14-$N$7)/30,0)=9,1,0)</formula>
    </cfRule>
  </conditionalFormatting>
  <conditionalFormatting sqref="M18:M19 M21">
    <cfRule type="expression" dxfId="19" priority="29">
      <formula>IF(ROUND(($N$14-$N$7)/30,0)=10,1,0)</formula>
    </cfRule>
  </conditionalFormatting>
  <conditionalFormatting sqref="M23">
    <cfRule type="expression" dxfId="18" priority="49">
      <formula>IF(ROUND(($N$14-$N$7)/30,0)=10,1,0)</formula>
    </cfRule>
  </conditionalFormatting>
  <conditionalFormatting sqref="N6:N7 N9:N11 M12 N13:N15">
    <cfRule type="expression" dxfId="17" priority="42">
      <formula>IF(ROUND(($N$14-$N$7)/30,0)=3,1,0)</formula>
    </cfRule>
  </conditionalFormatting>
  <conditionalFormatting sqref="N18:N19 N21">
    <cfRule type="expression" dxfId="16" priority="28">
      <formula>IF(ROUND(($N$14-$N$7)/30,0)=11,1,0)</formula>
    </cfRule>
  </conditionalFormatting>
  <conditionalFormatting sqref="N23">
    <cfRule type="expression" dxfId="15" priority="50">
      <formula>IF(ROUND(($N$14-$N$7)/30,0)=11,1,0)</formula>
    </cfRule>
  </conditionalFormatting>
  <conditionalFormatting sqref="O18:O19 O21 O23">
    <cfRule type="expression" dxfId="14" priority="51">
      <formula>IF(ROUND(($N$14-$N$7)/30,0)=12,1,0)</formula>
    </cfRule>
  </conditionalFormatting>
  <pageMargins left="0.7" right="0.7" top="0.75" bottom="0.75" header="0.3" footer="0.3"/>
  <pageSetup scale="49" orientation="portrait" horizontalDpi="1200" verticalDpi="12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6"/>
  <sheetViews>
    <sheetView showGridLines="0" topLeftCell="B26" zoomScale="82" zoomScaleNormal="82" workbookViewId="0">
      <selection activeCell="C11" sqref="C11"/>
    </sheetView>
  </sheetViews>
  <sheetFormatPr baseColWidth="10" defaultColWidth="9.140625" defaultRowHeight="15" x14ac:dyDescent="0.25"/>
  <cols>
    <col min="2" max="2" width="60.7109375" customWidth="1"/>
    <col min="3" max="3" width="22.7109375" customWidth="1"/>
    <col min="4" max="4" width="13" customWidth="1"/>
    <col min="5" max="5" width="11.85546875" customWidth="1"/>
    <col min="6" max="6" width="12.5703125" customWidth="1"/>
    <col min="7" max="7" width="13.140625" customWidth="1"/>
    <col min="8" max="8" width="12.42578125" customWidth="1"/>
    <col min="9" max="9" width="14.140625" customWidth="1"/>
    <col min="10" max="10" width="12" customWidth="1"/>
    <col min="11" max="11" width="14" customWidth="1"/>
    <col min="12" max="13" width="13" customWidth="1"/>
    <col min="14" max="14" width="12.5703125" customWidth="1"/>
    <col min="15" max="15" width="14.140625" customWidth="1"/>
    <col min="17" max="17" width="10.28515625" bestFit="1" customWidth="1"/>
  </cols>
  <sheetData>
    <row r="1" spans="2:16" ht="15.75" x14ac:dyDescent="0.3">
      <c r="B1" s="7"/>
      <c r="C1" s="7"/>
      <c r="D1" s="7"/>
      <c r="E1" s="7"/>
      <c r="F1" s="7"/>
      <c r="G1" s="7"/>
      <c r="H1" s="7"/>
      <c r="I1" s="7"/>
      <c r="J1" s="7"/>
      <c r="K1" s="7"/>
    </row>
    <row r="2" spans="2:16" ht="15.75" x14ac:dyDescent="0.3">
      <c r="B2" s="7"/>
      <c r="C2" s="7"/>
      <c r="D2" s="7"/>
      <c r="E2" s="7"/>
      <c r="F2" s="7"/>
      <c r="G2" s="7"/>
      <c r="H2" s="7"/>
      <c r="I2" s="7"/>
      <c r="J2" s="7"/>
      <c r="K2" s="7"/>
    </row>
    <row r="3" spans="2:16" ht="15.75" x14ac:dyDescent="0.3">
      <c r="B3" s="7"/>
      <c r="C3" s="7"/>
      <c r="D3" s="7"/>
      <c r="E3" s="7"/>
      <c r="F3" s="7"/>
      <c r="G3" s="7"/>
      <c r="H3" s="7"/>
      <c r="I3" s="7"/>
      <c r="J3" s="7"/>
      <c r="K3" s="7"/>
    </row>
    <row r="4" spans="2:16" ht="20.65" customHeight="1" x14ac:dyDescent="0.35">
      <c r="B4" s="7"/>
      <c r="C4" s="7"/>
      <c r="D4" s="9" t="s">
        <v>0</v>
      </c>
      <c r="F4" s="7"/>
      <c r="G4" s="7"/>
      <c r="H4" s="7"/>
      <c r="I4" s="7"/>
      <c r="J4" s="7"/>
      <c r="K4" s="7"/>
    </row>
    <row r="5" spans="2:16" ht="15.75" x14ac:dyDescent="0.3">
      <c r="B5" s="8"/>
      <c r="C5" s="8"/>
      <c r="D5" s="7"/>
      <c r="E5" s="7"/>
      <c r="F5" s="7"/>
      <c r="G5" s="7"/>
      <c r="H5" s="7"/>
      <c r="I5" s="7"/>
      <c r="J5" s="7"/>
      <c r="K5" s="7"/>
    </row>
    <row r="6" spans="2:16" ht="15.75" x14ac:dyDescent="0.3">
      <c r="B6" s="7"/>
      <c r="C6" s="7"/>
      <c r="D6" s="7"/>
      <c r="E6" s="7"/>
      <c r="F6" s="7"/>
      <c r="G6" s="7"/>
      <c r="H6" s="7"/>
      <c r="I6" s="7"/>
      <c r="J6" s="7"/>
      <c r="K6" s="5"/>
      <c r="L6" s="12"/>
      <c r="M6" s="12"/>
      <c r="N6" s="59"/>
      <c r="O6" s="58"/>
      <c r="P6" s="5"/>
    </row>
    <row r="7" spans="2:16" ht="15.75" x14ac:dyDescent="0.3">
      <c r="B7" s="7"/>
      <c r="C7" s="7"/>
      <c r="D7" s="7"/>
      <c r="E7" s="7"/>
      <c r="F7" s="7"/>
      <c r="G7" s="7"/>
      <c r="H7" s="7"/>
      <c r="I7" s="7"/>
      <c r="J7" s="7"/>
      <c r="K7" s="6"/>
      <c r="L7" s="13"/>
      <c r="M7" s="13"/>
      <c r="N7" s="57"/>
      <c r="O7" s="58"/>
      <c r="P7" s="6"/>
    </row>
    <row r="8" spans="2:16" ht="20.65" customHeight="1" x14ac:dyDescent="0.35">
      <c r="B8" s="55" t="s">
        <v>1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6"/>
    </row>
    <row r="9" spans="2:16" ht="15" customHeight="1" thickBot="1" x14ac:dyDescent="0.3"/>
    <row r="10" spans="2:16" x14ac:dyDescent="0.25">
      <c r="B10" s="42" t="s">
        <v>2</v>
      </c>
      <c r="C10" s="43" t="s">
        <v>50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</row>
    <row r="11" spans="2:16" x14ac:dyDescent="0.25">
      <c r="B11" s="31" t="s">
        <v>4</v>
      </c>
      <c r="C11" s="15" t="s">
        <v>51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46"/>
    </row>
    <row r="12" spans="2:16" ht="15" customHeight="1" thickBot="1" x14ac:dyDescent="0.3">
      <c r="B12" s="32" t="s">
        <v>6</v>
      </c>
      <c r="C12" s="60">
        <v>40695</v>
      </c>
      <c r="D12" s="61"/>
      <c r="E12" s="47" t="s">
        <v>7</v>
      </c>
      <c r="F12" s="48"/>
      <c r="G12" s="60">
        <v>41455</v>
      </c>
      <c r="H12" s="63"/>
      <c r="I12" s="61"/>
      <c r="J12" s="47" t="s">
        <v>8</v>
      </c>
      <c r="K12" s="48"/>
      <c r="L12" s="62">
        <v>40908</v>
      </c>
      <c r="M12" s="63"/>
      <c r="N12" s="63"/>
      <c r="O12" s="64"/>
      <c r="P12" s="6"/>
    </row>
    <row r="13" spans="2:16" x14ac:dyDescent="0.25"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6"/>
    </row>
    <row r="14" spans="2:16" ht="15.75" x14ac:dyDescent="0.3">
      <c r="B14" s="7"/>
      <c r="C14" s="7"/>
      <c r="D14" s="7"/>
      <c r="E14" s="7"/>
      <c r="F14" s="7"/>
      <c r="G14" s="7"/>
      <c r="H14" s="7"/>
      <c r="I14" s="7"/>
      <c r="J14" s="7"/>
      <c r="K14" s="6"/>
      <c r="L14" s="13"/>
      <c r="M14" s="14"/>
      <c r="N14" s="57"/>
      <c r="O14" s="58"/>
      <c r="P14" s="6"/>
    </row>
    <row r="15" spans="2:16" ht="15" customHeight="1" thickBot="1" x14ac:dyDescent="0.35">
      <c r="B15" s="7"/>
      <c r="C15" s="7"/>
      <c r="D15" s="7"/>
      <c r="E15" s="7"/>
      <c r="F15" s="7"/>
      <c r="G15" s="7"/>
      <c r="H15" s="7"/>
      <c r="I15" s="7"/>
      <c r="J15" s="7"/>
      <c r="K15" s="6"/>
      <c r="L15" s="13"/>
      <c r="M15" s="14"/>
      <c r="N15" s="57"/>
      <c r="O15" s="58"/>
      <c r="P15" s="6"/>
    </row>
    <row r="16" spans="2:16" x14ac:dyDescent="0.25">
      <c r="B16" s="27"/>
      <c r="C16" s="28"/>
      <c r="D16" s="52" t="s">
        <v>52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4"/>
      <c r="P16" s="2"/>
    </row>
    <row r="17" spans="2:15" x14ac:dyDescent="0.25">
      <c r="B17" s="29"/>
      <c r="C17" s="19"/>
      <c r="D17" s="20" t="s">
        <v>53</v>
      </c>
      <c r="E17" s="20" t="s">
        <v>54</v>
      </c>
      <c r="F17" s="20" t="s">
        <v>55</v>
      </c>
      <c r="G17" s="20" t="s">
        <v>56</v>
      </c>
      <c r="H17" s="20" t="s">
        <v>57</v>
      </c>
      <c r="I17" s="20" t="s">
        <v>58</v>
      </c>
      <c r="J17" s="20" t="s">
        <v>59</v>
      </c>
      <c r="K17" s="20" t="s">
        <v>60</v>
      </c>
      <c r="L17" s="20" t="s">
        <v>61</v>
      </c>
      <c r="M17" s="20" t="s">
        <v>62</v>
      </c>
      <c r="N17" s="20" t="s">
        <v>63</v>
      </c>
      <c r="O17" s="30" t="s">
        <v>64</v>
      </c>
    </row>
    <row r="18" spans="2:15" x14ac:dyDescent="0.25">
      <c r="B18" s="31" t="s">
        <v>22</v>
      </c>
      <c r="C18" s="20"/>
      <c r="D18" s="34">
        <v>20000</v>
      </c>
      <c r="E18" s="34">
        <v>40000</v>
      </c>
      <c r="F18" s="34">
        <v>60000</v>
      </c>
      <c r="G18" s="34">
        <v>80000</v>
      </c>
      <c r="H18" s="34">
        <v>120000</v>
      </c>
      <c r="I18" s="34">
        <v>140000</v>
      </c>
      <c r="J18" s="34">
        <v>160000</v>
      </c>
      <c r="K18" s="34">
        <v>180000</v>
      </c>
      <c r="L18" s="34">
        <v>180000</v>
      </c>
      <c r="M18" s="34">
        <v>120000</v>
      </c>
      <c r="N18" s="34">
        <v>80000</v>
      </c>
      <c r="O18" s="35">
        <v>40000</v>
      </c>
    </row>
    <row r="19" spans="2:15" x14ac:dyDescent="0.25">
      <c r="B19" s="31" t="s">
        <v>23</v>
      </c>
      <c r="C19" s="20" t="s">
        <v>24</v>
      </c>
      <c r="D19" s="34">
        <f>D18</f>
        <v>20000</v>
      </c>
      <c r="E19" s="34">
        <f>D18+E18</f>
        <v>60000</v>
      </c>
      <c r="F19" s="34">
        <f t="shared" ref="F19:O19" si="0">E19+F18</f>
        <v>120000</v>
      </c>
      <c r="G19" s="34">
        <f t="shared" si="0"/>
        <v>200000</v>
      </c>
      <c r="H19" s="34">
        <f t="shared" si="0"/>
        <v>320000</v>
      </c>
      <c r="I19" s="34">
        <f t="shared" si="0"/>
        <v>460000</v>
      </c>
      <c r="J19" s="34">
        <f t="shared" si="0"/>
        <v>620000</v>
      </c>
      <c r="K19" s="34">
        <f t="shared" si="0"/>
        <v>800000</v>
      </c>
      <c r="L19" s="34">
        <f t="shared" si="0"/>
        <v>980000</v>
      </c>
      <c r="M19" s="34">
        <f t="shared" si="0"/>
        <v>1100000</v>
      </c>
      <c r="N19" s="34">
        <f t="shared" si="0"/>
        <v>1180000</v>
      </c>
      <c r="O19" s="35">
        <f t="shared" si="0"/>
        <v>1220000</v>
      </c>
    </row>
    <row r="20" spans="2:15" x14ac:dyDescent="0.25">
      <c r="B20" s="31" t="s">
        <v>25</v>
      </c>
      <c r="C20" s="20"/>
      <c r="D20" s="34">
        <v>20000</v>
      </c>
      <c r="E20" s="34">
        <v>20000</v>
      </c>
      <c r="F20" s="34">
        <v>40000</v>
      </c>
      <c r="G20" s="34">
        <v>60000</v>
      </c>
      <c r="H20" s="34">
        <v>80000</v>
      </c>
      <c r="I20" s="34">
        <v>100000</v>
      </c>
      <c r="J20" s="34">
        <v>150000</v>
      </c>
      <c r="K20" s="34"/>
      <c r="L20" s="34"/>
      <c r="M20" s="34"/>
      <c r="N20" s="34"/>
      <c r="O20" s="35"/>
    </row>
    <row r="21" spans="2:15" x14ac:dyDescent="0.25">
      <c r="B21" s="31" t="s">
        <v>26</v>
      </c>
      <c r="C21" s="20" t="s">
        <v>27</v>
      </c>
      <c r="D21" s="34">
        <f>D20</f>
        <v>20000</v>
      </c>
      <c r="E21" s="34">
        <f>D20+E20</f>
        <v>40000</v>
      </c>
      <c r="F21" s="34">
        <f>E21+F20</f>
        <v>80000</v>
      </c>
      <c r="G21" s="34">
        <f>F21+G20</f>
        <v>140000</v>
      </c>
      <c r="H21" s="34">
        <f>G21+H20</f>
        <v>220000</v>
      </c>
      <c r="I21" s="34">
        <f>H21+I20</f>
        <v>320000</v>
      </c>
      <c r="J21" s="34">
        <f>I21+J20</f>
        <v>470000</v>
      </c>
      <c r="K21" s="34"/>
      <c r="L21" s="34"/>
      <c r="M21" s="34"/>
      <c r="N21" s="34"/>
      <c r="O21" s="35"/>
    </row>
    <row r="22" spans="2:15" x14ac:dyDescent="0.25">
      <c r="B22" s="31" t="s">
        <v>28</v>
      </c>
      <c r="C22" s="20" t="s">
        <v>29</v>
      </c>
      <c r="D22" s="38">
        <v>1.4999999999999999E-2</v>
      </c>
      <c r="E22" s="39">
        <v>0.03</v>
      </c>
      <c r="F22" s="39">
        <v>0.04</v>
      </c>
      <c r="G22" s="39">
        <v>0.06</v>
      </c>
      <c r="H22" s="39">
        <v>8.5000000000000006E-2</v>
      </c>
      <c r="I22" s="39">
        <v>0.1</v>
      </c>
      <c r="J22" s="39">
        <v>0.12</v>
      </c>
      <c r="K22" s="39"/>
      <c r="L22" s="39"/>
      <c r="M22" s="39"/>
      <c r="N22" s="39"/>
      <c r="O22" s="40"/>
    </row>
    <row r="23" spans="2:15" x14ac:dyDescent="0.25">
      <c r="B23" s="31" t="s">
        <v>30</v>
      </c>
      <c r="C23" s="20" t="s">
        <v>65</v>
      </c>
      <c r="D23" s="34">
        <f t="shared" ref="D23:J23" si="1">D22*$C$26</f>
        <v>18300</v>
      </c>
      <c r="E23" s="34">
        <f t="shared" si="1"/>
        <v>36600</v>
      </c>
      <c r="F23" s="34">
        <f t="shared" si="1"/>
        <v>48800</v>
      </c>
      <c r="G23" s="34">
        <f t="shared" si="1"/>
        <v>73200</v>
      </c>
      <c r="H23" s="34">
        <f t="shared" si="1"/>
        <v>103700.00000000001</v>
      </c>
      <c r="I23" s="34">
        <f t="shared" si="1"/>
        <v>122000</v>
      </c>
      <c r="J23" s="34">
        <f t="shared" si="1"/>
        <v>146400</v>
      </c>
      <c r="K23" s="34"/>
      <c r="L23" s="34"/>
      <c r="M23" s="34"/>
      <c r="N23" s="34"/>
      <c r="O23" s="35"/>
    </row>
    <row r="24" spans="2:15" ht="15" customHeight="1" thickBot="1" x14ac:dyDescent="0.3">
      <c r="B24" s="32" t="s">
        <v>31</v>
      </c>
      <c r="C24" s="33" t="s">
        <v>32</v>
      </c>
      <c r="D24" s="34">
        <f>D23</f>
        <v>18300</v>
      </c>
      <c r="E24" s="34">
        <f>D23+E23</f>
        <v>54900</v>
      </c>
      <c r="F24" s="34">
        <f>E24+F23</f>
        <v>103700</v>
      </c>
      <c r="G24" s="34">
        <f>F24+G23</f>
        <v>176900</v>
      </c>
      <c r="H24" s="34">
        <f>G24+H23</f>
        <v>280600</v>
      </c>
      <c r="I24" s="34">
        <f>H24+I23</f>
        <v>402600</v>
      </c>
      <c r="J24" s="34">
        <f>I24+J23</f>
        <v>549000</v>
      </c>
      <c r="K24" s="34"/>
      <c r="L24" s="34"/>
      <c r="M24" s="34"/>
      <c r="N24" s="34"/>
      <c r="O24" s="35"/>
    </row>
    <row r="25" spans="2:15" ht="15.95" customHeight="1" thickBot="1" x14ac:dyDescent="0.3">
      <c r="D25" s="1" t="s">
        <v>33</v>
      </c>
    </row>
    <row r="26" spans="2:15" ht="15.95" customHeight="1" thickBot="1" x14ac:dyDescent="0.3">
      <c r="B26" s="26" t="s">
        <v>66</v>
      </c>
      <c r="C26" s="36">
        <f>O19</f>
        <v>1220000</v>
      </c>
      <c r="D26" s="1"/>
    </row>
    <row r="27" spans="2:15" ht="15.95" customHeight="1" thickBot="1" x14ac:dyDescent="0.3">
      <c r="C27" s="10"/>
      <c r="D27" s="1"/>
    </row>
    <row r="28" spans="2:15" x14ac:dyDescent="0.25">
      <c r="B28" s="22" t="s">
        <v>35</v>
      </c>
      <c r="C28" s="23" t="s">
        <v>36</v>
      </c>
    </row>
    <row r="29" spans="2:15" x14ac:dyDescent="0.25">
      <c r="B29" s="21" t="s">
        <v>37</v>
      </c>
      <c r="C29" s="34">
        <f>J24-J21</f>
        <v>79000</v>
      </c>
      <c r="D29" s="4"/>
      <c r="E29" s="4"/>
    </row>
    <row r="30" spans="2:15" ht="24.95" customHeight="1" x14ac:dyDescent="0.25">
      <c r="B30" s="21" t="s">
        <v>67</v>
      </c>
      <c r="C30" s="41">
        <f>J24-J19</f>
        <v>-71000</v>
      </c>
    </row>
    <row r="31" spans="2:15" ht="24.95" customHeight="1" x14ac:dyDescent="0.25">
      <c r="B31" s="21" t="s">
        <v>68</v>
      </c>
      <c r="C31" s="11">
        <f>(J24/J21)</f>
        <v>1.1680851063829787</v>
      </c>
    </row>
    <row r="32" spans="2:15" ht="24.95" customHeight="1" x14ac:dyDescent="0.25">
      <c r="B32" s="21" t="s">
        <v>40</v>
      </c>
      <c r="C32" s="11">
        <f>J24/J19</f>
        <v>0.88548387096774195</v>
      </c>
    </row>
    <row r="33" spans="2:3" ht="25.35" customHeight="1" thickBot="1" x14ac:dyDescent="0.3">
      <c r="B33" s="24" t="s">
        <v>69</v>
      </c>
      <c r="C33" s="25">
        <f>C26/C31</f>
        <v>1044444.4444444445</v>
      </c>
    </row>
    <row r="35" spans="2:3" x14ac:dyDescent="0.25">
      <c r="B35" s="37"/>
    </row>
    <row r="36" spans="2:3" x14ac:dyDescent="0.25">
      <c r="B36" s="49" t="s">
        <v>42</v>
      </c>
    </row>
    <row r="37" spans="2:3" x14ac:dyDescent="0.25">
      <c r="B37" s="50" t="s">
        <v>43</v>
      </c>
    </row>
    <row r="38" spans="2:3" x14ac:dyDescent="0.25">
      <c r="B38" s="51"/>
    </row>
    <row r="39" spans="2:3" x14ac:dyDescent="0.25">
      <c r="B39" s="50" t="s">
        <v>44</v>
      </c>
    </row>
    <row r="40" spans="2:3" x14ac:dyDescent="0.25">
      <c r="B40" s="50" t="s">
        <v>45</v>
      </c>
    </row>
    <row r="41" spans="2:3" x14ac:dyDescent="0.25">
      <c r="B41" s="50"/>
    </row>
    <row r="42" spans="2:3" x14ac:dyDescent="0.25">
      <c r="B42" s="50" t="s">
        <v>46</v>
      </c>
    </row>
    <row r="43" spans="2:3" x14ac:dyDescent="0.25">
      <c r="B43" s="50" t="s">
        <v>47</v>
      </c>
    </row>
    <row r="44" spans="2:3" x14ac:dyDescent="0.25">
      <c r="B44" s="50"/>
    </row>
    <row r="45" spans="2:3" x14ac:dyDescent="0.25">
      <c r="B45" s="50" t="s">
        <v>48</v>
      </c>
    </row>
    <row r="46" spans="2:3" x14ac:dyDescent="0.25">
      <c r="B46" s="50" t="s">
        <v>49</v>
      </c>
    </row>
  </sheetData>
  <mergeCells count="9">
    <mergeCell ref="N6:O6"/>
    <mergeCell ref="L12:O12"/>
    <mergeCell ref="G12:I12"/>
    <mergeCell ref="N14:O14"/>
    <mergeCell ref="D16:O16"/>
    <mergeCell ref="C12:D12"/>
    <mergeCell ref="B8:O8"/>
    <mergeCell ref="N15:O15"/>
    <mergeCell ref="N7:O7"/>
  </mergeCells>
  <pageMargins left="0.7" right="0.7" top="0.75" bottom="0.75" header="0.3" footer="0.3"/>
  <pageSetup scale="48" orientation="portrait" horizontalDpi="1200" verticalDpi="12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EVM Sprint 3 – 76B12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Cupa</dc:creator>
  <cp:lastModifiedBy>Jonatan Brigani Roman Angulo</cp:lastModifiedBy>
  <cp:lastPrinted>2012-05-23T16:28:30Z</cp:lastPrinted>
  <dcterms:created xsi:type="dcterms:W3CDTF">2011-05-27T04:00:15Z</dcterms:created>
  <dcterms:modified xsi:type="dcterms:W3CDTF">2026-04-15T19:00:00Z</dcterms:modified>
</cp:coreProperties>
</file>