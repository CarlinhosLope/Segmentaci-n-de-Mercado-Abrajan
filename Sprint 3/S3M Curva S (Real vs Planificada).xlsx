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1288_culiacan_tecnm_mx/Documents/"/>
    </mc:Choice>
  </mc:AlternateContent>
  <xr:revisionPtr revIDLastSave="0" documentId="8_{2F1E9191-6341-9949-B242-8E01B6486541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Detalle de Costos" sheetId="11" r:id="rId1"/>
    <sheet name="Plantilla Curva S" sheetId="4" r:id="rId2"/>
    <sheet name="Ejemplo" sheetId="9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9" l="1"/>
  <c r="C52" i="11"/>
  <c r="D15" i="4"/>
  <c r="D16" i="4"/>
  <c r="D52" i="11"/>
  <c r="E15" i="4"/>
  <c r="E52" i="11"/>
  <c r="F15" i="4"/>
  <c r="F52" i="11"/>
  <c r="G15" i="4"/>
  <c r="G52" i="11"/>
  <c r="H15" i="4"/>
  <c r="H52" i="11"/>
  <c r="I15" i="4"/>
  <c r="I52" i="11"/>
  <c r="J15" i="4"/>
  <c r="J52" i="11"/>
  <c r="K15" i="4"/>
  <c r="K52" i="11"/>
  <c r="L15" i="4"/>
  <c r="L52" i="11"/>
  <c r="M15" i="4"/>
  <c r="M52" i="11"/>
  <c r="N15" i="4"/>
  <c r="N52" i="11"/>
  <c r="O15" i="4"/>
  <c r="F16" i="9"/>
  <c r="AJ52" i="11"/>
  <c r="AK52" i="11"/>
  <c r="AL52" i="11"/>
  <c r="AG52" i="11"/>
  <c r="AH52" i="11"/>
  <c r="AI52" i="11"/>
  <c r="AD52" i="11"/>
  <c r="AE52" i="11"/>
  <c r="AF52" i="11"/>
  <c r="AA52" i="11"/>
  <c r="AB52" i="11"/>
  <c r="AC52" i="11"/>
  <c r="X52" i="11"/>
  <c r="Y52" i="11"/>
  <c r="Z52" i="11"/>
  <c r="U52" i="11"/>
  <c r="V52" i="11"/>
  <c r="W52" i="11"/>
  <c r="R52" i="11"/>
  <c r="S52" i="11"/>
  <c r="T52" i="11"/>
  <c r="O52" i="11"/>
  <c r="P52" i="11"/>
  <c r="Q52" i="11"/>
  <c r="BE52" i="11"/>
  <c r="BF52" i="11"/>
  <c r="BG52" i="11"/>
  <c r="BH52" i="11"/>
  <c r="BI52" i="11"/>
  <c r="BJ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BA52" i="11"/>
  <c r="BB52" i="11"/>
  <c r="BC52" i="11"/>
  <c r="BD52" i="11"/>
  <c r="D18" i="9"/>
  <c r="E18" i="9"/>
  <c r="F18" i="9"/>
  <c r="G18" i="9"/>
  <c r="D16" i="9"/>
  <c r="G16" i="9"/>
  <c r="H16" i="9"/>
  <c r="I16" i="9"/>
  <c r="J16" i="9"/>
  <c r="K16" i="9"/>
  <c r="L16" i="9"/>
  <c r="M16" i="9"/>
  <c r="N16" i="9"/>
  <c r="O16" i="9"/>
  <c r="E16" i="4"/>
  <c r="F16" i="4"/>
  <c r="G16" i="4"/>
  <c r="H16" i="4"/>
  <c r="I16" i="4"/>
  <c r="J16" i="4"/>
  <c r="K16" i="4"/>
  <c r="L16" i="4"/>
  <c r="M16" i="4"/>
  <c r="N16" i="4"/>
  <c r="O16" i="4"/>
  <c r="B53" i="11"/>
</calcChain>
</file>

<file path=xl/sharedStrings.xml><?xml version="1.0" encoding="utf-8"?>
<sst xmlns="http://schemas.openxmlformats.org/spreadsheetml/2006/main" count="116" uniqueCount="106">
  <si>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</si>
  <si>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</si>
  <si>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</si>
  <si>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</si>
  <si>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</si>
  <si>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</si>
  <si>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</si>
  <si>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</si>
  <si>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</si>
  <si>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</si>
  <si>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</si>
  <si>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</si>
  <si>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Valor Planificado</t>
  </si>
  <si>
    <t>Costo Real</t>
  </si>
  <si>
    <t>Proyecto:</t>
  </si>
  <si>
    <t>ID:</t>
  </si>
  <si>
    <t>Fecha de Corte:</t>
  </si>
  <si>
    <t>Año 2012</t>
  </si>
  <si>
    <t>Fecha de Inicio</t>
  </si>
  <si>
    <t>Fecha Fin:</t>
  </si>
  <si>
    <t>Valor Planificado Acumulado</t>
  </si>
  <si>
    <t>Costo Real Acumulado</t>
  </si>
  <si>
    <t>Curva S de Recursos</t>
  </si>
  <si>
    <t>1.1.1.1</t>
  </si>
  <si>
    <t>Paquete de trabajo</t>
  </si>
  <si>
    <t>1.2.1.1</t>
  </si>
  <si>
    <t>2.1.1.1</t>
  </si>
  <si>
    <t>2.2.1.1</t>
  </si>
  <si>
    <t>Costos por paquete de trabajo</t>
  </si>
  <si>
    <t>Paquete de Trabajo</t>
  </si>
  <si>
    <t>1.1.1.2</t>
  </si>
  <si>
    <t>1.1.1.3</t>
  </si>
  <si>
    <t>1.1.2.1</t>
  </si>
  <si>
    <t>1.1.2.2</t>
  </si>
  <si>
    <t>1.1.2.3</t>
  </si>
  <si>
    <t>1.2.1.2</t>
  </si>
  <si>
    <t>1.2.2.2</t>
  </si>
  <si>
    <t>Componente 1</t>
  </si>
  <si>
    <t>Componente 2</t>
  </si>
  <si>
    <t>2.1.1.2</t>
  </si>
  <si>
    <t>2.1.1.3</t>
  </si>
  <si>
    <t>2.1.2.1</t>
  </si>
  <si>
    <t>2.1.2.2</t>
  </si>
  <si>
    <t>2.1.2.3</t>
  </si>
  <si>
    <t>2.2.1.2</t>
  </si>
  <si>
    <t>Componente 3</t>
  </si>
  <si>
    <t>TOTAL</t>
  </si>
  <si>
    <t>Trimestre</t>
  </si>
  <si>
    <t>Semanas</t>
  </si>
  <si>
    <t>Base de datos validada y lista para modelado</t>
  </si>
  <si>
    <t>Dataset depurado</t>
  </si>
  <si>
    <t>Depuración y validación y datos</t>
  </si>
  <si>
    <t>Indentificación de valores faltantes</t>
  </si>
  <si>
    <t>Informe de Análisis de exploratorio</t>
  </si>
  <si>
    <t>Reporte técnico  de EDA aprobado</t>
  </si>
  <si>
    <t xml:space="preserve">Estadisticas descripción </t>
  </si>
  <si>
    <t>Modelo de segmentación  validado</t>
  </si>
  <si>
    <t>Modlo K-Means documentado</t>
  </si>
  <si>
    <t>Construcción y evaluado del modelo</t>
  </si>
  <si>
    <t>Determinado de K-óptimo</t>
  </si>
  <si>
    <t xml:space="preserve">Modelo comparativo jerárquico </t>
  </si>
  <si>
    <t>Análisis Comparativo</t>
  </si>
  <si>
    <t>Construcción de denograma</t>
  </si>
  <si>
    <t>Documentos de perfiles definidos estratégicos</t>
  </si>
  <si>
    <t>Perfiles definidos y deimensionados</t>
  </si>
  <si>
    <t>Análisis y caracterización de segmentos</t>
  </si>
  <si>
    <t xml:space="preserve">Análisis demograficos </t>
  </si>
  <si>
    <t>Componente 4</t>
  </si>
  <si>
    <t>plan estratégico validado</t>
  </si>
  <si>
    <t>Documentado estratégico valiada</t>
  </si>
  <si>
    <t>Diseño de estrategia validado</t>
  </si>
  <si>
    <t>Definición de propuestas de valor</t>
  </si>
  <si>
    <t>Componente 5</t>
  </si>
  <si>
    <t>Proyecto formalmante gestionado y cerrado</t>
  </si>
  <si>
    <t>Documentacion de gestion completa</t>
  </si>
  <si>
    <t>Planificación y control</t>
  </si>
  <si>
    <t xml:space="preserve">Elaboracion de cronograma </t>
  </si>
  <si>
    <t>Componente 6</t>
  </si>
  <si>
    <t>3.1.1.1</t>
  </si>
  <si>
    <t>3.1.1.2</t>
  </si>
  <si>
    <t>3.1.1.3</t>
  </si>
  <si>
    <t>3.1.2.1</t>
  </si>
  <si>
    <t>3.1.2.2</t>
  </si>
  <si>
    <t>4.2.1.2</t>
  </si>
  <si>
    <t>4.2.1.3</t>
  </si>
  <si>
    <t>4.2.2.1</t>
  </si>
  <si>
    <t>5.1.1.1</t>
  </si>
  <si>
    <t>4.1.1.1</t>
  </si>
  <si>
    <t>5.1.1.3</t>
  </si>
  <si>
    <t>5.1.1.2</t>
  </si>
  <si>
    <t>5.1.2.4</t>
  </si>
  <si>
    <t>Elaboración del  analisis exploratorio</t>
  </si>
  <si>
    <t>Documento integrador y cierre proyecto</t>
  </si>
  <si>
    <t>Reporte final cosolidado</t>
  </si>
  <si>
    <t>Informe ejecutivo de resultados</t>
  </si>
  <si>
    <t>Síntesis medológica, hallazgos y recomendaciones estratégicas</t>
  </si>
  <si>
    <t>Presentación ejecutiva</t>
  </si>
  <si>
    <t xml:space="preserve">Deck de comunicación a Steakholders </t>
  </si>
  <si>
    <t>Visualización de segmentos y propuestas de valor de grupo</t>
  </si>
  <si>
    <t>Segmentación de mercado para Targeting (Mail Customer segmetation)</t>
  </si>
  <si>
    <t>76B12</t>
  </si>
  <si>
    <t>Segmetation de mercado para Targeting(Mail customer segmentation)</t>
  </si>
  <si>
    <t>Código 76B12</t>
  </si>
  <si>
    <t>Segmentación de mercado para targeting(Mail customer segmetation)</t>
  </si>
  <si>
    <t>13/04/26.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</si>
</sst>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_-&quot;$&quot;* #,##0_-;\-&quot;$&quot;* #,##0_-;_-&quot;$&quot;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  <font>
      <b/>
      <u/>
      <sz val="10"/>
      <color theme="0"/>
      <name val="Corbel"/>
      <family val="2"/>
    </font>
    <font>
      <b/>
      <sz val="10"/>
      <color theme="1"/>
      <name val="Corbel"/>
      <family val="2"/>
    </font>
    <font>
      <sz val="11"/>
      <color theme="1"/>
      <name val="Corbel"/>
    </font>
    <font>
      <sz val="10"/>
      <color theme="1"/>
      <name val="Corbel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3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65" fontId="0" fillId="0" borderId="1" xfId="1" applyNumberFormat="1" applyFont="1" applyBorder="1"/>
    <xf numFmtId="165" fontId="0" fillId="0" borderId="13" xfId="1" applyNumberFormat="1" applyFont="1" applyBorder="1"/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10" fillId="0" borderId="17" xfId="0" applyFont="1" applyBorder="1" applyAlignment="1" applyProtection="1">
      <alignment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0" fontId="4" fillId="7" borderId="0" xfId="0" applyFont="1" applyFill="1" applyProtection="1">
      <protection locked="0"/>
    </xf>
    <xf numFmtId="0" fontId="9" fillId="7" borderId="16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top"/>
      <protection locked="0"/>
    </xf>
    <xf numFmtId="0" fontId="14" fillId="7" borderId="0" xfId="0" applyFont="1" applyFill="1" applyAlignment="1" applyProtection="1">
      <alignment horizontal="left" vertical="center"/>
      <protection locked="0"/>
    </xf>
    <xf numFmtId="0" fontId="12" fillId="7" borderId="0" xfId="0" applyFont="1" applyFill="1" applyProtection="1">
      <protection locked="0"/>
    </xf>
    <xf numFmtId="0" fontId="9" fillId="7" borderId="0" xfId="0" applyFont="1" applyFill="1" applyAlignment="1" applyProtection="1">
      <alignment horizontal="center" vertical="top"/>
      <protection locked="0"/>
    </xf>
    <xf numFmtId="0" fontId="15" fillId="4" borderId="0" xfId="0" applyFont="1" applyFill="1" applyProtection="1">
      <protection locked="0"/>
    </xf>
    <xf numFmtId="0" fontId="16" fillId="0" borderId="16" xfId="0" applyFont="1" applyBorder="1" applyAlignment="1" applyProtection="1">
      <alignment vertical="top"/>
      <protection locked="0"/>
    </xf>
    <xf numFmtId="0" fontId="16" fillId="0" borderId="16" xfId="0" applyFont="1" applyBorder="1" applyAlignment="1" applyProtection="1">
      <alignment horizontal="left" vertical="center"/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10" fillId="7" borderId="16" xfId="1" applyFont="1" applyFill="1" applyBorder="1" applyAlignment="1" applyProtection="1">
      <alignment horizontal="center" vertical="top"/>
      <protection locked="0"/>
    </xf>
    <xf numFmtId="44" fontId="10" fillId="7" borderId="16" xfId="1" applyFont="1" applyFill="1" applyBorder="1" applyAlignment="1" applyProtection="1">
      <alignment horizontal="center" vertical="top" wrapText="1"/>
      <protection locked="0"/>
    </xf>
    <xf numFmtId="44" fontId="10" fillId="7" borderId="16" xfId="1" applyFont="1" applyFill="1" applyBorder="1" applyAlignment="1" applyProtection="1">
      <alignment vertical="top"/>
      <protection locked="0"/>
    </xf>
    <xf numFmtId="44" fontId="10" fillId="7" borderId="19" xfId="1" applyFont="1" applyFill="1" applyBorder="1" applyAlignment="1" applyProtection="1">
      <alignment horizontal="center" vertical="top"/>
      <protection locked="0"/>
    </xf>
    <xf numFmtId="44" fontId="10" fillId="7" borderId="19" xfId="1" applyFont="1" applyFill="1" applyBorder="1" applyAlignment="1" applyProtection="1">
      <alignment horizontal="center" vertical="top" wrapText="1"/>
      <protection locked="0"/>
    </xf>
    <xf numFmtId="44" fontId="10" fillId="7" borderId="19" xfId="1" applyFont="1" applyFill="1" applyBorder="1" applyAlignment="1" applyProtection="1">
      <alignment vertical="top"/>
      <protection locked="0"/>
    </xf>
    <xf numFmtId="44" fontId="10" fillId="0" borderId="1" xfId="1" applyFont="1" applyBorder="1" applyAlignment="1" applyProtection="1">
      <alignment horizontal="center" vertical="top"/>
      <protection locked="0"/>
    </xf>
    <xf numFmtId="44" fontId="10" fillId="0" borderId="1" xfId="1" applyFont="1" applyBorder="1" applyAlignment="1" applyProtection="1">
      <alignment horizontal="center" vertical="top" wrapText="1"/>
      <protection locked="0"/>
    </xf>
    <xf numFmtId="44" fontId="10" fillId="0" borderId="1" xfId="1" applyFont="1" applyBorder="1" applyAlignment="1" applyProtection="1">
      <alignment vertical="top"/>
      <protection locked="0"/>
    </xf>
    <xf numFmtId="44" fontId="14" fillId="7" borderId="1" xfId="1" applyFont="1" applyFill="1" applyBorder="1" applyAlignment="1" applyProtection="1">
      <alignment horizontal="center" vertical="top"/>
      <protection locked="0"/>
    </xf>
    <xf numFmtId="44" fontId="14" fillId="7" borderId="1" xfId="1" applyFont="1" applyFill="1" applyBorder="1" applyAlignment="1" applyProtection="1">
      <alignment horizontal="center" vertical="top" wrapText="1"/>
      <protection locked="0"/>
    </xf>
    <xf numFmtId="44" fontId="14" fillId="7" borderId="1" xfId="1" applyFont="1" applyFill="1" applyBorder="1" applyAlignment="1" applyProtection="1">
      <alignment vertical="top"/>
      <protection locked="0"/>
    </xf>
    <xf numFmtId="44" fontId="4" fillId="6" borderId="1" xfId="1" applyFont="1" applyFill="1" applyBorder="1" applyProtection="1">
      <protection locked="0"/>
    </xf>
    <xf numFmtId="44" fontId="4" fillId="4" borderId="0" xfId="0" applyNumberFormat="1" applyFont="1" applyFill="1" applyProtection="1"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6" fillId="5" borderId="0" xfId="0" applyFont="1" applyFill="1" applyAlignment="1" applyProtection="1">
      <alignment horizontal="center" vertical="center"/>
      <protection locked="0"/>
    </xf>
    <xf numFmtId="0" fontId="13" fillId="5" borderId="17" xfId="0" applyFont="1" applyFill="1" applyBorder="1" applyAlignment="1" applyProtection="1">
      <alignment horizontal="right" vertical="center"/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0" borderId="13" xfId="0" applyBorder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2000</c:v>
                </c:pt>
                <c:pt idx="1">
                  <c:v>4000</c:v>
                </c:pt>
                <c:pt idx="2">
                  <c:v>7400</c:v>
                </c:pt>
                <c:pt idx="3">
                  <c:v>10000</c:v>
                </c:pt>
                <c:pt idx="4">
                  <c:v>14300</c:v>
                </c:pt>
                <c:pt idx="5">
                  <c:v>19000</c:v>
                </c:pt>
                <c:pt idx="6">
                  <c:v>23500</c:v>
                </c:pt>
                <c:pt idx="7">
                  <c:v>27000</c:v>
                </c:pt>
                <c:pt idx="8">
                  <c:v>30000</c:v>
                </c:pt>
                <c:pt idx="9">
                  <c:v>32000</c:v>
                </c:pt>
                <c:pt idx="10">
                  <c:v>34100</c:v>
                </c:pt>
                <c:pt idx="11">
                  <c:v>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  <c:pt idx="0">
                  <c:v>1800</c:v>
                </c:pt>
                <c:pt idx="1">
                  <c:v>3700</c:v>
                </c:pt>
                <c:pt idx="2">
                  <c:v>6900</c:v>
                </c:pt>
                <c:pt idx="3">
                  <c:v>9300</c:v>
                </c:pt>
                <c:pt idx="4">
                  <c:v>13400</c:v>
                </c:pt>
                <c:pt idx="5">
                  <c:v>17900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Ejemplo!$C$16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strRef>
              <c:f>Ejemplo!$D$14:$O$14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Ejemplo!$D$16:$O$16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7-437D-8FD2-1C88788F654F}"/>
            </c:ext>
          </c:extLst>
        </c:ser>
        <c:ser>
          <c:idx val="3"/>
          <c:order val="1"/>
          <c:tx>
            <c:strRef>
              <c:f>Ejemplo!$C$18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strRef>
              <c:f>Ejemplo!$D$14:$O$14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Ejemplo!$D$18:$O$18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7-437D-8FD2-1C88788F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11808"/>
        <c:axId val="194196224"/>
      </c:lineChart>
      <c:catAx>
        <c:axId val="193911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196224"/>
        <c:crosses val="autoZero"/>
        <c:auto val="1"/>
        <c:lblAlgn val="ctr"/>
        <c:lblOffset val="100"/>
        <c:noMultiLvlLbl val="0"/>
      </c:catAx>
      <c:valAx>
        <c:axId val="194196224"/>
        <c:scaling>
          <c:orientation val="minMax"/>
        </c:scaling>
        <c:delete val="0"/>
        <c:axPos val="l"/>
        <c:majorGridlines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193911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249768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1621013</xdr:colOff>
      <xdr:row>19</xdr:row>
      <xdr:rowOff>120298</xdr:rowOff>
    </xdr:from>
    <xdr:to>
      <xdr:col>10</xdr:col>
      <xdr:colOff>121708</xdr:colOff>
      <xdr:row>43</xdr:row>
      <xdr:rowOff>82902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1079500</xdr:colOff>
      <xdr:row>1</xdr:row>
      <xdr:rowOff>34106</xdr:rowOff>
    </xdr:from>
    <xdr:to>
      <xdr:col>3</xdr:col>
      <xdr:colOff>222250</xdr:colOff>
      <xdr:row>5</xdr:row>
      <xdr:rowOff>104774</xdr:rowOff>
    </xdr:to>
    <xdr:pic>
      <xdr:nvPicPr>
        <xdr:cNvPr id="4097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" y="240481"/>
          <a:ext cx="2127250" cy="8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54"/>
  <sheetViews>
    <sheetView topLeftCell="A37" zoomScale="99" zoomScaleNormal="100" workbookViewId="0">
      <pane xSplit="7" topLeftCell="H37" activePane="topRight" state="frozen"/>
      <selection activeCell="A20" sqref="A20"/>
      <selection pane="topRight" activeCell="B30" sqref="B30"/>
    </sheetView>
  </sheetViews>
  <sheetFormatPr defaultColWidth="11.43359375" defaultRowHeight="15" x14ac:dyDescent="0.2"/>
  <cols>
    <col min="1" max="1" width="14.52734375" style="28" customWidth="1"/>
    <col min="2" max="2" width="50.84765625" style="29" customWidth="1"/>
    <col min="3" max="3" width="10.35546875" style="29" customWidth="1"/>
    <col min="4" max="4" width="10.4921875" style="29" customWidth="1"/>
    <col min="5" max="5" width="10.89453125" style="29" customWidth="1"/>
    <col min="6" max="62" width="10.4921875" style="29" customWidth="1"/>
    <col min="63" max="16384" width="11.43359375" style="29"/>
  </cols>
  <sheetData>
    <row r="3" spans="1:62" ht="21" x14ac:dyDescent="0.3">
      <c r="D3" s="30" t="s">
        <v>28</v>
      </c>
    </row>
    <row r="6" spans="1:62" x14ac:dyDescent="0.2">
      <c r="A6" s="83" t="s">
        <v>103</v>
      </c>
      <c r="B6" s="83"/>
      <c r="C6" s="83"/>
      <c r="D6" s="8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</row>
    <row r="7" spans="1:62" x14ac:dyDescent="0.2">
      <c r="A7" s="35" t="s">
        <v>102</v>
      </c>
      <c r="B7" s="35" t="s">
        <v>29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</row>
    <row r="8" spans="1:62" x14ac:dyDescent="0.2">
      <c r="A8" s="84" t="s">
        <v>48</v>
      </c>
      <c r="B8" s="84"/>
      <c r="C8" s="36">
        <v>1</v>
      </c>
      <c r="D8" s="36">
        <v>2</v>
      </c>
      <c r="E8" s="36">
        <v>3</v>
      </c>
      <c r="F8" s="36">
        <v>4</v>
      </c>
      <c r="G8" s="36">
        <v>5</v>
      </c>
      <c r="H8" s="36">
        <v>6</v>
      </c>
      <c r="I8" s="36">
        <v>7</v>
      </c>
      <c r="J8" s="36">
        <v>8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14</v>
      </c>
      <c r="Q8" s="36">
        <v>15</v>
      </c>
      <c r="R8" s="36">
        <v>16</v>
      </c>
      <c r="S8" s="36">
        <v>17</v>
      </c>
      <c r="T8" s="36">
        <v>18</v>
      </c>
      <c r="U8" s="36">
        <v>19</v>
      </c>
      <c r="V8" s="36">
        <v>20</v>
      </c>
      <c r="W8" s="36">
        <v>21</v>
      </c>
      <c r="X8" s="36">
        <v>22</v>
      </c>
      <c r="Y8" s="36">
        <v>23</v>
      </c>
      <c r="Z8" s="36">
        <v>24</v>
      </c>
      <c r="AA8" s="36">
        <v>25</v>
      </c>
      <c r="AB8" s="36">
        <v>26</v>
      </c>
      <c r="AC8" s="36">
        <v>27</v>
      </c>
      <c r="AD8" s="36">
        <v>28</v>
      </c>
      <c r="AE8" s="36">
        <v>29</v>
      </c>
      <c r="AF8" s="36">
        <v>30</v>
      </c>
      <c r="AG8" s="36">
        <v>31</v>
      </c>
      <c r="AH8" s="36">
        <v>32</v>
      </c>
      <c r="AI8" s="36">
        <v>33</v>
      </c>
      <c r="AJ8" s="36">
        <v>34</v>
      </c>
      <c r="AK8" s="36">
        <v>35</v>
      </c>
      <c r="AL8" s="36">
        <v>36</v>
      </c>
      <c r="AM8" s="36">
        <v>37</v>
      </c>
      <c r="AN8" s="36">
        <v>38</v>
      </c>
      <c r="AO8" s="36">
        <v>39</v>
      </c>
      <c r="AP8" s="36">
        <v>40</v>
      </c>
      <c r="AQ8" s="36">
        <v>41</v>
      </c>
      <c r="AR8" s="36">
        <v>42</v>
      </c>
      <c r="AS8" s="36">
        <v>43</v>
      </c>
      <c r="AT8" s="36">
        <v>44</v>
      </c>
      <c r="AU8" s="36">
        <v>45</v>
      </c>
      <c r="AV8" s="36">
        <v>46</v>
      </c>
      <c r="AW8" s="36">
        <v>47</v>
      </c>
      <c r="AX8" s="36">
        <v>48</v>
      </c>
      <c r="AY8" s="36">
        <v>49</v>
      </c>
      <c r="AZ8" s="36">
        <v>50</v>
      </c>
      <c r="BA8" s="36">
        <v>51</v>
      </c>
      <c r="BB8" s="36">
        <v>52</v>
      </c>
      <c r="BC8" s="36">
        <v>53</v>
      </c>
      <c r="BD8" s="36">
        <v>54</v>
      </c>
      <c r="BE8" s="36">
        <v>55</v>
      </c>
      <c r="BF8" s="36">
        <v>56</v>
      </c>
      <c r="BG8" s="36">
        <v>57</v>
      </c>
      <c r="BH8" s="36">
        <v>58</v>
      </c>
      <c r="BI8" s="36">
        <v>59</v>
      </c>
      <c r="BJ8" s="36">
        <v>60</v>
      </c>
    </row>
    <row r="9" spans="1:62" x14ac:dyDescent="0.2">
      <c r="A9" s="85" t="s">
        <v>37</v>
      </c>
      <c r="B9" s="8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</row>
    <row r="10" spans="1:62" x14ac:dyDescent="0.2">
      <c r="A10" s="33" t="s">
        <v>23</v>
      </c>
      <c r="B10" s="34" t="s">
        <v>49</v>
      </c>
      <c r="C10" s="50"/>
      <c r="D10" s="51">
        <v>200</v>
      </c>
      <c r="E10" s="50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</row>
    <row r="11" spans="1:62" x14ac:dyDescent="0.2">
      <c r="A11" s="33" t="s">
        <v>30</v>
      </c>
      <c r="B11" s="34" t="s">
        <v>50</v>
      </c>
      <c r="C11" s="50">
        <v>600</v>
      </c>
      <c r="D11" s="51"/>
      <c r="E11" s="50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</row>
    <row r="12" spans="1:62" x14ac:dyDescent="0.2">
      <c r="A12" s="33" t="s">
        <v>31</v>
      </c>
      <c r="B12" s="34" t="s">
        <v>51</v>
      </c>
      <c r="C12" s="50">
        <v>900</v>
      </c>
      <c r="D12" s="51"/>
      <c r="E12" s="50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</row>
    <row r="13" spans="1:62" x14ac:dyDescent="0.2">
      <c r="A13" s="33" t="s">
        <v>32</v>
      </c>
      <c r="B13" s="34" t="s">
        <v>52</v>
      </c>
      <c r="C13" s="50">
        <v>500</v>
      </c>
      <c r="D13" s="51"/>
      <c r="E13" s="50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</row>
    <row r="14" spans="1:62" x14ac:dyDescent="0.2">
      <c r="A14" s="33" t="s">
        <v>33</v>
      </c>
      <c r="B14" s="34" t="s">
        <v>53</v>
      </c>
      <c r="C14" s="50"/>
      <c r="D14" s="51">
        <v>400</v>
      </c>
      <c r="E14" s="50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</row>
    <row r="15" spans="1:62" x14ac:dyDescent="0.2">
      <c r="A15" s="33" t="s">
        <v>34</v>
      </c>
      <c r="B15" s="34" t="s">
        <v>54</v>
      </c>
      <c r="C15" s="50"/>
      <c r="D15" s="51">
        <v>200</v>
      </c>
      <c r="E15" s="5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</row>
    <row r="16" spans="1:62" x14ac:dyDescent="0.2">
      <c r="A16" s="33" t="s">
        <v>25</v>
      </c>
      <c r="B16" s="34" t="s">
        <v>91</v>
      </c>
      <c r="C16" s="50"/>
      <c r="D16" s="51">
        <v>700</v>
      </c>
      <c r="E16" s="50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</row>
    <row r="17" spans="1:62" s="47" customFormat="1" x14ac:dyDescent="0.2">
      <c r="A17" s="49" t="s">
        <v>35</v>
      </c>
      <c r="B17" s="48" t="s">
        <v>55</v>
      </c>
      <c r="C17" s="50"/>
      <c r="D17" s="51">
        <v>500</v>
      </c>
      <c r="E17" s="50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</row>
    <row r="18" spans="1:62" x14ac:dyDescent="0.2">
      <c r="A18" s="33" t="s">
        <v>36</v>
      </c>
      <c r="B18" s="34"/>
      <c r="C18" s="50"/>
      <c r="D18" s="51"/>
      <c r="E18" s="50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</row>
    <row r="19" spans="1:62" x14ac:dyDescent="0.2">
      <c r="A19" s="85" t="s">
        <v>38</v>
      </c>
      <c r="B19" s="86"/>
      <c r="C19" s="53"/>
      <c r="D19" s="54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</row>
    <row r="20" spans="1:62" x14ac:dyDescent="0.2">
      <c r="A20" s="33" t="s">
        <v>26</v>
      </c>
      <c r="B20" s="34" t="s">
        <v>56</v>
      </c>
      <c r="C20" s="50"/>
      <c r="D20" s="51"/>
      <c r="E20" s="50">
        <v>1000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</row>
    <row r="21" spans="1:62" x14ac:dyDescent="0.2">
      <c r="A21" s="33" t="s">
        <v>39</v>
      </c>
      <c r="B21" s="34" t="s">
        <v>57</v>
      </c>
      <c r="C21" s="50"/>
      <c r="D21" s="51"/>
      <c r="E21" s="50">
        <v>1400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</row>
    <row r="22" spans="1:62" x14ac:dyDescent="0.2">
      <c r="A22" s="33" t="s">
        <v>40</v>
      </c>
      <c r="B22" s="34" t="s">
        <v>58</v>
      </c>
      <c r="C22" s="50"/>
      <c r="D22" s="51"/>
      <c r="E22" s="50"/>
      <c r="F22" s="52">
        <v>500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</row>
    <row r="23" spans="1:62" x14ac:dyDescent="0.2">
      <c r="A23" s="33" t="s">
        <v>41</v>
      </c>
      <c r="B23" s="34" t="s">
        <v>59</v>
      </c>
      <c r="C23" s="50"/>
      <c r="D23" s="51"/>
      <c r="E23" s="50">
        <v>1000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</row>
    <row r="24" spans="1:62" x14ac:dyDescent="0.2">
      <c r="A24" s="33" t="s">
        <v>42</v>
      </c>
      <c r="B24" s="34" t="s">
        <v>60</v>
      </c>
      <c r="C24" s="50"/>
      <c r="D24" s="51"/>
      <c r="E24" s="50"/>
      <c r="F24" s="52">
        <v>400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</row>
    <row r="25" spans="1:62" x14ac:dyDescent="0.2">
      <c r="A25" s="33" t="s">
        <v>43</v>
      </c>
      <c r="B25" s="34" t="s">
        <v>61</v>
      </c>
      <c r="C25" s="50"/>
      <c r="D25" s="51"/>
      <c r="E25" s="50"/>
      <c r="F25" s="52">
        <v>900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</row>
    <row r="26" spans="1:62" x14ac:dyDescent="0.2">
      <c r="A26" s="33" t="s">
        <v>27</v>
      </c>
      <c r="B26" s="34" t="s">
        <v>62</v>
      </c>
      <c r="C26" s="50"/>
      <c r="D26" s="51"/>
      <c r="E26" s="50"/>
      <c r="F26" s="52">
        <v>800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</row>
    <row r="27" spans="1:62" x14ac:dyDescent="0.2">
      <c r="A27" s="33" t="s">
        <v>44</v>
      </c>
      <c r="B27" s="34"/>
      <c r="C27" s="50"/>
      <c r="D27" s="51"/>
      <c r="E27" s="50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</row>
    <row r="28" spans="1:62" x14ac:dyDescent="0.2">
      <c r="A28" s="85" t="s">
        <v>45</v>
      </c>
      <c r="B28" s="86"/>
      <c r="C28" s="53"/>
      <c r="D28" s="54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</row>
    <row r="29" spans="1:62" x14ac:dyDescent="0.2">
      <c r="A29" s="33" t="s">
        <v>78</v>
      </c>
      <c r="B29" s="34" t="s">
        <v>24</v>
      </c>
      <c r="C29" s="50"/>
      <c r="D29" s="51"/>
      <c r="E29" s="50"/>
      <c r="F29" s="52"/>
      <c r="G29" s="52"/>
      <c r="H29" s="52">
        <v>1200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</row>
    <row r="30" spans="1:62" x14ac:dyDescent="0.2">
      <c r="A30" s="33" t="s">
        <v>79</v>
      </c>
      <c r="B30" s="34" t="s">
        <v>63</v>
      </c>
      <c r="C30" s="50"/>
      <c r="D30" s="51"/>
      <c r="E30" s="50"/>
      <c r="F30" s="52"/>
      <c r="G30" s="52"/>
      <c r="H30" s="52">
        <v>1500</v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</row>
    <row r="31" spans="1:62" x14ac:dyDescent="0.2">
      <c r="A31" s="33" t="s">
        <v>80</v>
      </c>
      <c r="B31" s="34" t="s">
        <v>64</v>
      </c>
      <c r="C31" s="50"/>
      <c r="D31" s="51"/>
      <c r="E31" s="50"/>
      <c r="F31" s="52"/>
      <c r="G31" s="52"/>
      <c r="H31" s="52">
        <v>2000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</row>
    <row r="32" spans="1:62" x14ac:dyDescent="0.2">
      <c r="A32" s="33" t="s">
        <v>81</v>
      </c>
      <c r="B32" s="34" t="s">
        <v>65</v>
      </c>
      <c r="C32" s="50"/>
      <c r="D32" s="51"/>
      <c r="E32" s="50"/>
      <c r="F32" s="52"/>
      <c r="G32" s="52">
        <v>2500</v>
      </c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</row>
    <row r="33" spans="1:62" x14ac:dyDescent="0.2">
      <c r="A33" s="33" t="s">
        <v>82</v>
      </c>
      <c r="B33" s="34" t="s">
        <v>66</v>
      </c>
      <c r="C33" s="50"/>
      <c r="D33" s="51"/>
      <c r="E33" s="50"/>
      <c r="F33" s="52"/>
      <c r="G33" s="52">
        <v>1800</v>
      </c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</row>
    <row r="34" spans="1:62" s="40" customFormat="1" x14ac:dyDescent="0.2">
      <c r="A34" s="39"/>
      <c r="B34" s="41" t="s">
        <v>67</v>
      </c>
      <c r="C34" s="55"/>
      <c r="D34" s="56"/>
      <c r="E34" s="55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</row>
    <row r="35" spans="1:62" x14ac:dyDescent="0.2">
      <c r="A35" s="33" t="s">
        <v>87</v>
      </c>
      <c r="B35" s="34" t="s">
        <v>68</v>
      </c>
      <c r="C35" s="50"/>
      <c r="D35" s="51"/>
      <c r="E35" s="50"/>
      <c r="F35" s="52"/>
      <c r="G35" s="52"/>
      <c r="H35" s="52"/>
      <c r="I35" s="52"/>
      <c r="J35" s="52">
        <v>2000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</row>
    <row r="36" spans="1:62" x14ac:dyDescent="0.2">
      <c r="A36" s="33" t="s">
        <v>83</v>
      </c>
      <c r="B36" s="34" t="s">
        <v>69</v>
      </c>
      <c r="C36" s="50"/>
      <c r="D36" s="51"/>
      <c r="E36" s="50"/>
      <c r="F36" s="52"/>
      <c r="G36" s="52"/>
      <c r="H36" s="52"/>
      <c r="I36" s="52"/>
      <c r="J36" s="52">
        <v>1500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</row>
    <row r="37" spans="1:62" x14ac:dyDescent="0.2">
      <c r="A37" s="33" t="s">
        <v>84</v>
      </c>
      <c r="B37" s="34" t="s">
        <v>70</v>
      </c>
      <c r="C37" s="50"/>
      <c r="D37" s="51"/>
      <c r="E37" s="50"/>
      <c r="F37" s="52"/>
      <c r="G37" s="52"/>
      <c r="H37" s="52"/>
      <c r="I37" s="52">
        <v>2000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</row>
    <row r="38" spans="1:62" x14ac:dyDescent="0.2">
      <c r="A38" s="33" t="s">
        <v>85</v>
      </c>
      <c r="B38" s="34" t="s">
        <v>71</v>
      </c>
      <c r="C38" s="50"/>
      <c r="D38" s="51"/>
      <c r="E38" s="50"/>
      <c r="F38" s="52"/>
      <c r="G38" s="52"/>
      <c r="H38" s="52"/>
      <c r="I38" s="52">
        <v>2500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</row>
    <row r="39" spans="1:62" s="40" customFormat="1" x14ac:dyDescent="0.2">
      <c r="A39" s="39"/>
      <c r="B39" s="41" t="s">
        <v>72</v>
      </c>
      <c r="C39" s="58"/>
      <c r="D39" s="59"/>
      <c r="E39" s="58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</row>
    <row r="40" spans="1:62" x14ac:dyDescent="0.2">
      <c r="A40" s="33" t="s">
        <v>86</v>
      </c>
      <c r="B40" s="38" t="s">
        <v>73</v>
      </c>
      <c r="C40" s="61"/>
      <c r="D40" s="62"/>
      <c r="E40" s="61"/>
      <c r="F40" s="63"/>
      <c r="G40" s="63"/>
      <c r="H40" s="63"/>
      <c r="I40" s="63"/>
      <c r="J40" s="63"/>
      <c r="K40" s="63"/>
      <c r="L40" s="63">
        <v>500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</row>
    <row r="41" spans="1:62" x14ac:dyDescent="0.2">
      <c r="A41" s="42" t="s">
        <v>89</v>
      </c>
      <c r="B41" s="43" t="s">
        <v>74</v>
      </c>
      <c r="C41" s="61"/>
      <c r="D41" s="62"/>
      <c r="E41" s="61"/>
      <c r="F41" s="63"/>
      <c r="G41" s="63"/>
      <c r="H41" s="63"/>
      <c r="I41" s="63"/>
      <c r="J41" s="63"/>
      <c r="K41" s="63"/>
      <c r="L41" s="63">
        <v>1500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</row>
    <row r="42" spans="1:62" x14ac:dyDescent="0.2">
      <c r="A42" s="42" t="s">
        <v>88</v>
      </c>
      <c r="B42" s="43" t="s">
        <v>75</v>
      </c>
      <c r="C42" s="61"/>
      <c r="D42" s="62"/>
      <c r="E42" s="61"/>
      <c r="F42" s="63"/>
      <c r="G42" s="63"/>
      <c r="H42" s="63"/>
      <c r="I42" s="63"/>
      <c r="J42" s="63"/>
      <c r="K42" s="63">
        <v>1800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</row>
    <row r="43" spans="1:62" x14ac:dyDescent="0.2">
      <c r="A43" s="42" t="s">
        <v>90</v>
      </c>
      <c r="B43" s="43" t="s">
        <v>76</v>
      </c>
      <c r="C43" s="61"/>
      <c r="D43" s="62"/>
      <c r="E43" s="61"/>
      <c r="F43" s="63"/>
      <c r="G43" s="63"/>
      <c r="H43" s="63"/>
      <c r="I43" s="63"/>
      <c r="J43" s="63"/>
      <c r="K43" s="63">
        <v>1200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</row>
    <row r="44" spans="1:62" s="45" customFormat="1" x14ac:dyDescent="0.2">
      <c r="A44" s="44"/>
      <c r="B44" s="46" t="s">
        <v>77</v>
      </c>
      <c r="C44" s="64"/>
      <c r="D44" s="65"/>
      <c r="E44" s="64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</row>
    <row r="45" spans="1:62" x14ac:dyDescent="0.2">
      <c r="A45" s="42"/>
      <c r="B45" s="43" t="s">
        <v>92</v>
      </c>
      <c r="C45" s="61"/>
      <c r="D45" s="62"/>
      <c r="E45" s="61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</row>
    <row r="46" spans="1:62" x14ac:dyDescent="0.2">
      <c r="A46" s="42"/>
      <c r="B46" s="43" t="s">
        <v>93</v>
      </c>
      <c r="C46" s="61"/>
      <c r="D46" s="62"/>
      <c r="E46" s="61"/>
      <c r="F46" s="63"/>
      <c r="G46" s="63"/>
      <c r="H46" s="63"/>
      <c r="I46" s="63"/>
      <c r="J46" s="63"/>
      <c r="K46" s="63"/>
      <c r="L46" s="63"/>
      <c r="M46" s="63">
        <v>800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</row>
    <row r="47" spans="1:62" x14ac:dyDescent="0.2">
      <c r="A47" s="42"/>
      <c r="B47" s="43" t="s">
        <v>94</v>
      </c>
      <c r="C47" s="61"/>
      <c r="D47" s="62"/>
      <c r="E47" s="61"/>
      <c r="F47" s="63"/>
      <c r="G47" s="63"/>
      <c r="H47" s="63"/>
      <c r="I47" s="63"/>
      <c r="J47" s="63"/>
      <c r="K47" s="63"/>
      <c r="L47" s="63"/>
      <c r="M47" s="63">
        <v>700</v>
      </c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</row>
    <row r="48" spans="1:62" x14ac:dyDescent="0.2">
      <c r="A48" s="42"/>
      <c r="B48" s="43" t="s">
        <v>95</v>
      </c>
      <c r="C48" s="61"/>
      <c r="D48" s="62"/>
      <c r="E48" s="61"/>
      <c r="F48" s="63"/>
      <c r="G48" s="63"/>
      <c r="H48" s="63"/>
      <c r="I48" s="63"/>
      <c r="J48" s="63"/>
      <c r="K48" s="63"/>
      <c r="L48" s="63"/>
      <c r="M48" s="63">
        <v>600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</row>
    <row r="49" spans="1:62" x14ac:dyDescent="0.2">
      <c r="A49" s="42"/>
      <c r="B49" s="43" t="s">
        <v>96</v>
      </c>
      <c r="C49" s="61"/>
      <c r="D49" s="62"/>
      <c r="E49" s="61"/>
      <c r="F49" s="63"/>
      <c r="G49" s="63"/>
      <c r="H49" s="63"/>
      <c r="I49" s="63"/>
      <c r="J49" s="63"/>
      <c r="K49" s="63"/>
      <c r="L49" s="63"/>
      <c r="M49" s="63"/>
      <c r="N49" s="63">
        <v>500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</row>
    <row r="50" spans="1:62" x14ac:dyDescent="0.2">
      <c r="A50" s="42"/>
      <c r="B50" s="43" t="s">
        <v>97</v>
      </c>
      <c r="C50" s="61"/>
      <c r="D50" s="62"/>
      <c r="E50" s="61"/>
      <c r="F50" s="63"/>
      <c r="G50" s="63"/>
      <c r="H50" s="63"/>
      <c r="I50" s="63"/>
      <c r="J50" s="63"/>
      <c r="K50" s="63"/>
      <c r="L50" s="63"/>
      <c r="M50" s="63"/>
      <c r="N50" s="63">
        <v>250</v>
      </c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</row>
    <row r="51" spans="1:62" x14ac:dyDescent="0.2">
      <c r="A51" s="42"/>
      <c r="B51" s="43" t="s">
        <v>98</v>
      </c>
      <c r="C51" s="61"/>
      <c r="D51" s="62"/>
      <c r="E51" s="61"/>
      <c r="F51" s="63"/>
      <c r="G51" s="63"/>
      <c r="H51" s="63"/>
      <c r="I51" s="63"/>
      <c r="J51" s="63"/>
      <c r="K51" s="63"/>
      <c r="L51" s="63"/>
      <c r="M51" s="63"/>
      <c r="N51" s="63">
        <v>150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</row>
    <row r="52" spans="1:62" x14ac:dyDescent="0.2">
      <c r="B52" s="37" t="s">
        <v>46</v>
      </c>
      <c r="C52" s="67">
        <f>SUM(C10:C51)</f>
        <v>2000</v>
      </c>
      <c r="D52" s="67">
        <f t="shared" ref="D52:I52" si="0">SUM(D10:D40)</f>
        <v>2000</v>
      </c>
      <c r="E52" s="67">
        <f t="shared" si="0"/>
        <v>3400</v>
      </c>
      <c r="F52" s="67">
        <f t="shared" si="0"/>
        <v>2600</v>
      </c>
      <c r="G52" s="67">
        <f t="shared" si="0"/>
        <v>4300</v>
      </c>
      <c r="H52" s="67">
        <f t="shared" si="0"/>
        <v>4700</v>
      </c>
      <c r="I52" s="67">
        <f t="shared" si="0"/>
        <v>4500</v>
      </c>
      <c r="J52" s="67">
        <f>SUM(J10:J51)</f>
        <v>3500</v>
      </c>
      <c r="K52" s="67">
        <f>SUM(K10:K51)</f>
        <v>3000</v>
      </c>
      <c r="L52" s="67">
        <f>SUM(L10:L51)</f>
        <v>2000</v>
      </c>
      <c r="M52" s="67">
        <f>SUM(M10:M51)</f>
        <v>2100</v>
      </c>
      <c r="N52" s="67">
        <f>SUM(N10:N51)</f>
        <v>900</v>
      </c>
      <c r="O52" s="67">
        <f t="shared" ref="O52:BJ52" si="1">SUM(O10:O40)</f>
        <v>0</v>
      </c>
      <c r="P52" s="67">
        <f t="shared" si="1"/>
        <v>0</v>
      </c>
      <c r="Q52" s="67">
        <f t="shared" si="1"/>
        <v>0</v>
      </c>
      <c r="R52" s="67">
        <f t="shared" si="1"/>
        <v>0</v>
      </c>
      <c r="S52" s="67">
        <f t="shared" si="1"/>
        <v>0</v>
      </c>
      <c r="T52" s="67">
        <f t="shared" si="1"/>
        <v>0</v>
      </c>
      <c r="U52" s="67">
        <f t="shared" si="1"/>
        <v>0</v>
      </c>
      <c r="V52" s="67">
        <f t="shared" si="1"/>
        <v>0</v>
      </c>
      <c r="W52" s="67">
        <f t="shared" si="1"/>
        <v>0</v>
      </c>
      <c r="X52" s="67">
        <f t="shared" si="1"/>
        <v>0</v>
      </c>
      <c r="Y52" s="67">
        <f t="shared" si="1"/>
        <v>0</v>
      </c>
      <c r="Z52" s="67">
        <f t="shared" si="1"/>
        <v>0</v>
      </c>
      <c r="AA52" s="67">
        <f t="shared" si="1"/>
        <v>0</v>
      </c>
      <c r="AB52" s="67">
        <f t="shared" si="1"/>
        <v>0</v>
      </c>
      <c r="AC52" s="67">
        <f t="shared" si="1"/>
        <v>0</v>
      </c>
      <c r="AD52" s="67">
        <f t="shared" si="1"/>
        <v>0</v>
      </c>
      <c r="AE52" s="67">
        <f t="shared" si="1"/>
        <v>0</v>
      </c>
      <c r="AF52" s="67">
        <f t="shared" si="1"/>
        <v>0</v>
      </c>
      <c r="AG52" s="67">
        <f t="shared" si="1"/>
        <v>0</v>
      </c>
      <c r="AH52" s="67">
        <f t="shared" si="1"/>
        <v>0</v>
      </c>
      <c r="AI52" s="67">
        <f t="shared" si="1"/>
        <v>0</v>
      </c>
      <c r="AJ52" s="67">
        <f t="shared" si="1"/>
        <v>0</v>
      </c>
      <c r="AK52" s="67">
        <f t="shared" si="1"/>
        <v>0</v>
      </c>
      <c r="AL52" s="67">
        <f t="shared" si="1"/>
        <v>0</v>
      </c>
      <c r="AM52" s="67">
        <f t="shared" si="1"/>
        <v>0</v>
      </c>
      <c r="AN52" s="67">
        <f t="shared" si="1"/>
        <v>0</v>
      </c>
      <c r="AO52" s="67">
        <f t="shared" si="1"/>
        <v>0</v>
      </c>
      <c r="AP52" s="67">
        <f t="shared" si="1"/>
        <v>0</v>
      </c>
      <c r="AQ52" s="67">
        <f t="shared" si="1"/>
        <v>0</v>
      </c>
      <c r="AR52" s="67">
        <f t="shared" si="1"/>
        <v>0</v>
      </c>
      <c r="AS52" s="67">
        <f t="shared" si="1"/>
        <v>0</v>
      </c>
      <c r="AT52" s="67">
        <f t="shared" si="1"/>
        <v>0</v>
      </c>
      <c r="AU52" s="67">
        <f t="shared" si="1"/>
        <v>0</v>
      </c>
      <c r="AV52" s="67">
        <f t="shared" si="1"/>
        <v>0</v>
      </c>
      <c r="AW52" s="67">
        <f t="shared" si="1"/>
        <v>0</v>
      </c>
      <c r="AX52" s="67">
        <f t="shared" si="1"/>
        <v>0</v>
      </c>
      <c r="AY52" s="67">
        <f t="shared" si="1"/>
        <v>0</v>
      </c>
      <c r="AZ52" s="67">
        <f t="shared" si="1"/>
        <v>0</v>
      </c>
      <c r="BA52" s="67">
        <f t="shared" si="1"/>
        <v>0</v>
      </c>
      <c r="BB52" s="67">
        <f t="shared" si="1"/>
        <v>0</v>
      </c>
      <c r="BC52" s="67">
        <f t="shared" si="1"/>
        <v>0</v>
      </c>
      <c r="BD52" s="67">
        <f t="shared" si="1"/>
        <v>0</v>
      </c>
      <c r="BE52" s="67">
        <f t="shared" si="1"/>
        <v>0</v>
      </c>
      <c r="BF52" s="67">
        <f t="shared" si="1"/>
        <v>0</v>
      </c>
      <c r="BG52" s="67">
        <f t="shared" si="1"/>
        <v>0</v>
      </c>
      <c r="BH52" s="67">
        <f t="shared" si="1"/>
        <v>0</v>
      </c>
      <c r="BI52" s="67">
        <f t="shared" si="1"/>
        <v>0</v>
      </c>
      <c r="BJ52" s="67">
        <f t="shared" si="1"/>
        <v>0</v>
      </c>
    </row>
    <row r="53" spans="1:62" x14ac:dyDescent="0.2">
      <c r="B53" s="68">
        <f>SUM(C52:N52)</f>
        <v>35000</v>
      </c>
    </row>
    <row r="54" spans="1:62" x14ac:dyDescent="0.2">
      <c r="E54" s="47"/>
      <c r="F54" s="47"/>
    </row>
  </sheetData>
  <mergeCells count="5">
    <mergeCell ref="A6:D6"/>
    <mergeCell ref="A8:B8"/>
    <mergeCell ref="A19:B19"/>
    <mergeCell ref="A28:B28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J1" zoomScale="61" zoomScaleNormal="90" workbookViewId="0">
      <selection activeCell="M11" sqref="M11:O11"/>
    </sheetView>
  </sheetViews>
  <sheetFormatPr defaultColWidth="11.43359375" defaultRowHeight="15" x14ac:dyDescent="0.2"/>
  <cols>
    <col min="2" max="2" width="3.359375" customWidth="1"/>
    <col min="3" max="3" width="44.66015625" bestFit="1" customWidth="1"/>
    <col min="4" max="4" width="16.6796875" customWidth="1"/>
    <col min="5" max="5" width="16.140625" bestFit="1" customWidth="1"/>
    <col min="6" max="6" width="17.484375" customWidth="1"/>
    <col min="7" max="8" width="14.796875" bestFit="1" customWidth="1"/>
    <col min="9" max="9" width="14.52734375" bestFit="1" customWidth="1"/>
    <col min="10" max="10" width="16.54296875" bestFit="1" customWidth="1"/>
    <col min="11" max="11" width="14.52734375" bestFit="1" customWidth="1"/>
    <col min="12" max="12" width="16.54296875" bestFit="1" customWidth="1"/>
    <col min="13" max="14" width="15.46875" bestFit="1" customWidth="1"/>
    <col min="15" max="15" width="16.6796875" customWidth="1"/>
    <col min="16" max="16" width="3.359375" customWidth="1"/>
  </cols>
  <sheetData>
    <row r="1" spans="2:15" ht="15.75" thickBot="1" x14ac:dyDescent="0.25"/>
    <row r="2" spans="2:15" ht="15.75" thickTop="1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2">
      <c r="B3" s="5"/>
      <c r="O3" s="6"/>
    </row>
    <row r="4" spans="2:15" x14ac:dyDescent="0.2">
      <c r="B4" s="5"/>
      <c r="O4" s="6"/>
    </row>
    <row r="5" spans="2:15" x14ac:dyDescent="0.2">
      <c r="B5" s="5"/>
      <c r="O5" s="6"/>
    </row>
    <row r="6" spans="2:15" x14ac:dyDescent="0.2">
      <c r="B6" s="5"/>
      <c r="O6" s="6"/>
    </row>
    <row r="7" spans="2:15" ht="21" x14ac:dyDescent="0.3">
      <c r="B7" s="5"/>
      <c r="C7" s="71" t="s">
        <v>22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2"/>
    </row>
    <row r="8" spans="2:15" x14ac:dyDescent="0.2">
      <c r="B8" s="5"/>
      <c r="O8" s="6"/>
    </row>
    <row r="9" spans="2:15" x14ac:dyDescent="0.2">
      <c r="B9" s="5"/>
      <c r="C9" s="21" t="s">
        <v>14</v>
      </c>
      <c r="D9" s="18" t="s">
        <v>101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2">
      <c r="B10" s="5"/>
      <c r="C10" s="21" t="s">
        <v>15</v>
      </c>
      <c r="D10" s="73" t="s">
        <v>100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5"/>
    </row>
    <row r="11" spans="2:15" x14ac:dyDescent="0.2">
      <c r="B11" s="5"/>
      <c r="C11" s="21" t="s">
        <v>18</v>
      </c>
      <c r="D11" s="76">
        <v>46063</v>
      </c>
      <c r="E11" s="77"/>
      <c r="F11" s="78" t="s">
        <v>19</v>
      </c>
      <c r="G11" s="79"/>
      <c r="H11" s="76">
        <v>46183</v>
      </c>
      <c r="I11" s="74"/>
      <c r="J11" s="80"/>
      <c r="K11" s="78" t="s">
        <v>16</v>
      </c>
      <c r="L11" s="79"/>
      <c r="M11" s="76" t="s">
        <v>104</v>
      </c>
      <c r="N11" s="81"/>
      <c r="O11" s="82"/>
    </row>
    <row r="12" spans="2:15" x14ac:dyDescent="0.2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2">
      <c r="B13" s="5"/>
      <c r="C13" s="22"/>
      <c r="D13" s="69" t="s">
        <v>47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70"/>
    </row>
    <row r="14" spans="2:15" x14ac:dyDescent="0.2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2">
      <c r="B15" s="5"/>
      <c r="C15" s="21" t="s">
        <v>12</v>
      </c>
      <c r="D15" s="1">
        <f>'Detalle de Costos'!C52</f>
        <v>2000</v>
      </c>
      <c r="E15" s="1">
        <f>'Detalle de Costos'!D52</f>
        <v>2000</v>
      </c>
      <c r="F15" s="1">
        <f>'Detalle de Costos'!E52</f>
        <v>3400</v>
      </c>
      <c r="G15" s="1">
        <f>'Detalle de Costos'!F52</f>
        <v>2600</v>
      </c>
      <c r="H15" s="1">
        <f>'Detalle de Costos'!G52</f>
        <v>4300</v>
      </c>
      <c r="I15" s="1">
        <f>'Detalle de Costos'!H52</f>
        <v>4700</v>
      </c>
      <c r="J15" s="1">
        <f>'Detalle de Costos'!I52</f>
        <v>4500</v>
      </c>
      <c r="K15" s="1">
        <f>'Detalle de Costos'!J52</f>
        <v>3500</v>
      </c>
      <c r="L15" s="1">
        <f>'Detalle de Costos'!K52</f>
        <v>3000</v>
      </c>
      <c r="M15" s="1">
        <f>'Detalle de Costos'!L52</f>
        <v>2000</v>
      </c>
      <c r="N15" s="1">
        <f>'Detalle de Costos'!M52</f>
        <v>2100</v>
      </c>
      <c r="O15" s="1">
        <f>'Detalle de Costos'!N52</f>
        <v>900</v>
      </c>
    </row>
    <row r="16" spans="2:15" x14ac:dyDescent="0.2">
      <c r="B16" s="5"/>
      <c r="C16" s="21" t="s">
        <v>20</v>
      </c>
      <c r="D16" s="17">
        <f>D15</f>
        <v>2000</v>
      </c>
      <c r="E16" s="1">
        <f>E15+D16</f>
        <v>4000</v>
      </c>
      <c r="F16" s="1">
        <f t="shared" ref="F16:O16" si="0">F15+E16</f>
        <v>7400</v>
      </c>
      <c r="G16" s="1">
        <f t="shared" si="0"/>
        <v>10000</v>
      </c>
      <c r="H16" s="1">
        <f t="shared" si="0"/>
        <v>14300</v>
      </c>
      <c r="I16" s="1">
        <f t="shared" si="0"/>
        <v>19000</v>
      </c>
      <c r="J16" s="1">
        <f t="shared" si="0"/>
        <v>23500</v>
      </c>
      <c r="K16" s="1">
        <f t="shared" si="0"/>
        <v>27000</v>
      </c>
      <c r="L16" s="1">
        <f t="shared" si="0"/>
        <v>30000</v>
      </c>
      <c r="M16" s="1">
        <f t="shared" si="0"/>
        <v>32000</v>
      </c>
      <c r="N16" s="1">
        <f t="shared" si="0"/>
        <v>34100</v>
      </c>
      <c r="O16" s="1">
        <f t="shared" si="0"/>
        <v>35000</v>
      </c>
    </row>
    <row r="17" spans="2:15" x14ac:dyDescent="0.2">
      <c r="B17" s="5"/>
      <c r="C17" s="21" t="s">
        <v>13</v>
      </c>
      <c r="D17" s="1">
        <v>1800</v>
      </c>
      <c r="E17" s="1">
        <v>1900</v>
      </c>
      <c r="F17" s="1">
        <v>3200</v>
      </c>
      <c r="G17" s="1">
        <v>2400</v>
      </c>
      <c r="H17" s="1">
        <v>4100</v>
      </c>
      <c r="I17" s="1">
        <v>4500</v>
      </c>
      <c r="J17" s="1"/>
      <c r="K17" s="1"/>
      <c r="L17" s="1"/>
      <c r="M17" s="1"/>
      <c r="N17" s="1"/>
      <c r="O17" s="16"/>
    </row>
    <row r="18" spans="2:15" x14ac:dyDescent="0.2">
      <c r="B18" s="5"/>
      <c r="C18" s="21" t="s">
        <v>21</v>
      </c>
      <c r="D18" s="1">
        <v>1800</v>
      </c>
      <c r="E18" s="1">
        <v>3700</v>
      </c>
      <c r="F18" s="1">
        <v>6900</v>
      </c>
      <c r="G18" s="1">
        <v>9300</v>
      </c>
      <c r="H18" s="1">
        <v>13400</v>
      </c>
      <c r="I18" s="1">
        <v>17900</v>
      </c>
      <c r="J18" s="1"/>
      <c r="K18" s="1"/>
      <c r="L18" s="1"/>
      <c r="M18" s="1"/>
      <c r="N18" s="1"/>
      <c r="O18" s="16"/>
    </row>
    <row r="19" spans="2:15" x14ac:dyDescent="0.2">
      <c r="B19" s="5"/>
      <c r="O19" s="6"/>
    </row>
    <row r="20" spans="2:15" x14ac:dyDescent="0.2">
      <c r="B20" s="5"/>
      <c r="O20" s="6"/>
    </row>
    <row r="21" spans="2:15" x14ac:dyDescent="0.2">
      <c r="B21" s="5"/>
      <c r="C21" s="7"/>
      <c r="D21" s="13"/>
      <c r="E21" s="14"/>
      <c r="O21" s="6"/>
    </row>
    <row r="22" spans="2:15" x14ac:dyDescent="0.2">
      <c r="B22" s="5"/>
      <c r="O22" s="6"/>
    </row>
    <row r="23" spans="2:15" x14ac:dyDescent="0.2">
      <c r="B23" s="5"/>
      <c r="O23" s="6"/>
    </row>
    <row r="24" spans="2:15" x14ac:dyDescent="0.2">
      <c r="B24" s="5"/>
      <c r="O24" s="6"/>
    </row>
    <row r="25" spans="2:15" x14ac:dyDescent="0.2">
      <c r="B25" s="5"/>
      <c r="O25" s="6"/>
    </row>
    <row r="26" spans="2:15" x14ac:dyDescent="0.2">
      <c r="B26" s="5"/>
      <c r="O26" s="6"/>
    </row>
    <row r="27" spans="2:15" x14ac:dyDescent="0.2">
      <c r="B27" s="5"/>
      <c r="O27" s="6"/>
    </row>
    <row r="28" spans="2:15" x14ac:dyDescent="0.2">
      <c r="B28" s="5"/>
      <c r="O28" s="6"/>
    </row>
    <row r="29" spans="2:15" x14ac:dyDescent="0.2">
      <c r="B29" s="5"/>
      <c r="O29" s="6"/>
    </row>
    <row r="30" spans="2:15" x14ac:dyDescent="0.2">
      <c r="B30" s="5"/>
      <c r="O30" s="6"/>
    </row>
    <row r="31" spans="2:15" x14ac:dyDescent="0.2">
      <c r="B31" s="5"/>
      <c r="O31" s="6"/>
    </row>
    <row r="32" spans="2:15" x14ac:dyDescent="0.2">
      <c r="B32" s="5"/>
      <c r="O32" s="6"/>
    </row>
    <row r="33" spans="2:15" x14ac:dyDescent="0.2">
      <c r="B33" s="5"/>
      <c r="O33" s="6"/>
    </row>
    <row r="34" spans="2:15" x14ac:dyDescent="0.2">
      <c r="B34" s="5"/>
      <c r="O34" s="6"/>
    </row>
    <row r="35" spans="2:15" x14ac:dyDescent="0.2">
      <c r="B35" s="5"/>
      <c r="O35" s="6"/>
    </row>
    <row r="36" spans="2:15" x14ac:dyDescent="0.2">
      <c r="B36" s="5"/>
      <c r="O36" s="6"/>
    </row>
    <row r="37" spans="2:15" x14ac:dyDescent="0.2">
      <c r="B37" s="5"/>
      <c r="O37" s="6"/>
    </row>
    <row r="38" spans="2:15" x14ac:dyDescent="0.2">
      <c r="B38" s="5"/>
      <c r="O38" s="6"/>
    </row>
    <row r="39" spans="2:15" x14ac:dyDescent="0.2">
      <c r="B39" s="5"/>
      <c r="O39" s="6"/>
    </row>
    <row r="40" spans="2:15" x14ac:dyDescent="0.2">
      <c r="B40" s="5"/>
      <c r="O40" s="6"/>
    </row>
    <row r="41" spans="2:15" x14ac:dyDescent="0.2">
      <c r="B41" s="5"/>
      <c r="O41" s="6"/>
    </row>
    <row r="42" spans="2:15" x14ac:dyDescent="0.2">
      <c r="B42" s="5"/>
      <c r="O42" s="6"/>
    </row>
    <row r="43" spans="2:15" ht="15.75" thickBot="1" x14ac:dyDescent="0.2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.75" thickTop="1" x14ac:dyDescent="0.2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4"/>
  <sheetViews>
    <sheetView showGridLines="0" topLeftCell="B1" zoomScale="79" zoomScaleNormal="90" workbookViewId="0">
      <selection activeCell="D9" sqref="D9:O9"/>
    </sheetView>
  </sheetViews>
  <sheetFormatPr defaultColWidth="11.43359375" defaultRowHeight="15" x14ac:dyDescent="0.2"/>
  <cols>
    <col min="2" max="2" width="3.359375" customWidth="1"/>
    <col min="3" max="3" width="44.66015625" bestFit="1" customWidth="1"/>
    <col min="4" max="4" width="20.04296875" customWidth="1"/>
    <col min="5" max="5" width="16.140625" bestFit="1" customWidth="1"/>
    <col min="6" max="6" width="17.484375" customWidth="1"/>
    <col min="7" max="8" width="14.796875" bestFit="1" customWidth="1"/>
    <col min="9" max="9" width="14.52734375" bestFit="1" customWidth="1"/>
    <col min="10" max="10" width="16.54296875" bestFit="1" customWidth="1"/>
    <col min="11" max="11" width="14.52734375" bestFit="1" customWidth="1"/>
    <col min="12" max="12" width="16.54296875" bestFit="1" customWidth="1"/>
    <col min="13" max="14" width="15.46875" bestFit="1" customWidth="1"/>
    <col min="15" max="15" width="16.140625" bestFit="1" customWidth="1"/>
    <col min="16" max="16" width="3.359375" customWidth="1"/>
  </cols>
  <sheetData>
    <row r="1" spans="2:15" ht="15.75" thickBot="1" x14ac:dyDescent="0.25"/>
    <row r="2" spans="2:15" ht="15.75" thickTop="1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2">
      <c r="B3" s="5"/>
      <c r="O3" s="6"/>
    </row>
    <row r="4" spans="2:15" x14ac:dyDescent="0.2">
      <c r="B4" s="5"/>
      <c r="O4" s="6"/>
    </row>
    <row r="5" spans="2:15" x14ac:dyDescent="0.2">
      <c r="B5" s="5"/>
      <c r="O5" s="6"/>
    </row>
    <row r="6" spans="2:15" x14ac:dyDescent="0.2">
      <c r="B6" s="5"/>
      <c r="O6" s="6"/>
    </row>
    <row r="7" spans="2:15" ht="21" x14ac:dyDescent="0.3">
      <c r="B7" s="5"/>
      <c r="C7" s="71" t="s">
        <v>22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2"/>
    </row>
    <row r="8" spans="2:15" x14ac:dyDescent="0.2">
      <c r="B8" s="5"/>
      <c r="O8" s="6"/>
    </row>
    <row r="9" spans="2:15" x14ac:dyDescent="0.2">
      <c r="B9" s="5"/>
      <c r="C9" s="21" t="s">
        <v>14</v>
      </c>
      <c r="D9" s="87" t="s">
        <v>99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8"/>
    </row>
    <row r="10" spans="2:15" x14ac:dyDescent="0.2">
      <c r="B10" s="5"/>
      <c r="C10" s="21" t="s">
        <v>15</v>
      </c>
      <c r="D10" s="87" t="s">
        <v>100</v>
      </c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8"/>
    </row>
    <row r="11" spans="2:15" x14ac:dyDescent="0.2">
      <c r="B11" s="5"/>
      <c r="C11" s="21" t="s">
        <v>18</v>
      </c>
      <c r="D11" s="89">
        <v>46063</v>
      </c>
      <c r="E11" s="90"/>
      <c r="F11" s="91" t="s">
        <v>19</v>
      </c>
      <c r="G11" s="91"/>
      <c r="H11" s="89">
        <v>46183</v>
      </c>
      <c r="I11" s="90"/>
      <c r="J11" s="90"/>
      <c r="K11" s="91" t="s">
        <v>16</v>
      </c>
      <c r="L11" s="91"/>
      <c r="M11" s="89">
        <v>46183</v>
      </c>
      <c r="N11" s="90"/>
      <c r="O11" s="92"/>
    </row>
    <row r="12" spans="2:15" x14ac:dyDescent="0.2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2">
      <c r="B13" s="5"/>
      <c r="C13" s="22"/>
      <c r="D13" s="69" t="s">
        <v>17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70"/>
    </row>
    <row r="14" spans="2:15" x14ac:dyDescent="0.2">
      <c r="B14" s="5"/>
      <c r="C14" s="23"/>
      <c r="D14" s="24" t="s">
        <v>0</v>
      </c>
      <c r="E14" s="24" t="s">
        <v>1</v>
      </c>
      <c r="F14" s="24" t="s">
        <v>2</v>
      </c>
      <c r="G14" s="24" t="s">
        <v>3</v>
      </c>
      <c r="H14" s="24" t="s">
        <v>4</v>
      </c>
      <c r="I14" s="24" t="s">
        <v>5</v>
      </c>
      <c r="J14" s="24" t="s">
        <v>6</v>
      </c>
      <c r="K14" s="24" t="s">
        <v>7</v>
      </c>
      <c r="L14" s="24" t="s">
        <v>8</v>
      </c>
      <c r="M14" s="24" t="s">
        <v>9</v>
      </c>
      <c r="N14" s="24" t="s">
        <v>10</v>
      </c>
      <c r="O14" s="25" t="s">
        <v>11</v>
      </c>
    </row>
    <row r="15" spans="2:15" x14ac:dyDescent="0.2">
      <c r="B15" s="5"/>
      <c r="C15" s="21" t="s">
        <v>12</v>
      </c>
      <c r="D15" s="26">
        <v>20000</v>
      </c>
      <c r="E15" s="26">
        <v>40000</v>
      </c>
      <c r="F15" s="26">
        <v>60000</v>
      </c>
      <c r="G15" s="26">
        <v>80000</v>
      </c>
      <c r="H15" s="26">
        <v>120000</v>
      </c>
      <c r="I15" s="26">
        <v>140000</v>
      </c>
      <c r="J15" s="26">
        <v>160000</v>
      </c>
      <c r="K15" s="26">
        <v>180000</v>
      </c>
      <c r="L15" s="26">
        <v>180000</v>
      </c>
      <c r="M15" s="26">
        <v>120000</v>
      </c>
      <c r="N15" s="26">
        <v>80000</v>
      </c>
      <c r="O15" s="27">
        <v>40000</v>
      </c>
    </row>
    <row r="16" spans="2:15" x14ac:dyDescent="0.2">
      <c r="B16" s="5"/>
      <c r="C16" s="21" t="s">
        <v>20</v>
      </c>
      <c r="D16" s="26">
        <f>D15</f>
        <v>20000</v>
      </c>
      <c r="E16" s="26">
        <f>D16+E15</f>
        <v>60000</v>
      </c>
      <c r="F16" s="26">
        <f>E16+F15</f>
        <v>120000</v>
      </c>
      <c r="G16" s="26">
        <f t="shared" ref="G16:O16" si="0">F16+G15</f>
        <v>200000</v>
      </c>
      <c r="H16" s="26">
        <f t="shared" si="0"/>
        <v>320000</v>
      </c>
      <c r="I16" s="26">
        <f t="shared" si="0"/>
        <v>460000</v>
      </c>
      <c r="J16" s="26">
        <f t="shared" si="0"/>
        <v>620000</v>
      </c>
      <c r="K16" s="26">
        <f t="shared" si="0"/>
        <v>800000</v>
      </c>
      <c r="L16" s="26">
        <f t="shared" si="0"/>
        <v>980000</v>
      </c>
      <c r="M16" s="26">
        <f t="shared" si="0"/>
        <v>1100000</v>
      </c>
      <c r="N16" s="26">
        <f t="shared" si="0"/>
        <v>1180000</v>
      </c>
      <c r="O16" s="27">
        <f t="shared" si="0"/>
        <v>1220000</v>
      </c>
    </row>
    <row r="17" spans="2:15" x14ac:dyDescent="0.2">
      <c r="B17" s="5"/>
      <c r="C17" s="21" t="s">
        <v>13</v>
      </c>
      <c r="D17" s="26">
        <v>20000</v>
      </c>
      <c r="E17" s="26">
        <v>20000</v>
      </c>
      <c r="F17" s="26">
        <v>40000</v>
      </c>
      <c r="G17" s="26">
        <v>60000</v>
      </c>
      <c r="H17" s="26"/>
      <c r="I17" s="26"/>
      <c r="J17" s="26"/>
      <c r="K17" s="26"/>
      <c r="L17" s="26"/>
      <c r="M17" s="26"/>
      <c r="N17" s="26"/>
      <c r="O17" s="27"/>
    </row>
    <row r="18" spans="2:15" x14ac:dyDescent="0.2">
      <c r="B18" s="5"/>
      <c r="C18" s="21" t="s">
        <v>21</v>
      </c>
      <c r="D18" s="26">
        <f>D17</f>
        <v>20000</v>
      </c>
      <c r="E18" s="26">
        <f>D18+E17</f>
        <v>40000</v>
      </c>
      <c r="F18" s="26">
        <f t="shared" ref="F18:G18" si="1">E18+F17</f>
        <v>80000</v>
      </c>
      <c r="G18" s="26">
        <f t="shared" si="1"/>
        <v>140000</v>
      </c>
      <c r="H18" s="26"/>
      <c r="I18" s="26"/>
      <c r="J18" s="26"/>
      <c r="K18" s="26"/>
      <c r="L18" s="26"/>
      <c r="M18" s="26"/>
      <c r="N18" s="26"/>
      <c r="O18" s="27"/>
    </row>
    <row r="19" spans="2:15" x14ac:dyDescent="0.2">
      <c r="B19" s="5"/>
      <c r="O19" s="6"/>
    </row>
    <row r="20" spans="2:15" x14ac:dyDescent="0.2">
      <c r="B20" s="5"/>
      <c r="O20" s="6"/>
    </row>
    <row r="21" spans="2:15" x14ac:dyDescent="0.2">
      <c r="B21" s="5"/>
      <c r="C21" s="7"/>
      <c r="D21" s="13"/>
      <c r="E21" s="14"/>
      <c r="O21" s="6"/>
    </row>
    <row r="22" spans="2:15" x14ac:dyDescent="0.2">
      <c r="B22" s="5"/>
      <c r="O22" s="6"/>
    </row>
    <row r="23" spans="2:15" x14ac:dyDescent="0.2">
      <c r="B23" s="5"/>
      <c r="O23" s="6"/>
    </row>
    <row r="24" spans="2:15" x14ac:dyDescent="0.2">
      <c r="B24" s="5"/>
      <c r="O24" s="6"/>
    </row>
    <row r="25" spans="2:15" x14ac:dyDescent="0.2">
      <c r="B25" s="5"/>
      <c r="O25" s="6"/>
    </row>
    <row r="26" spans="2:15" x14ac:dyDescent="0.2">
      <c r="B26" s="5"/>
      <c r="O26" s="6"/>
    </row>
    <row r="27" spans="2:15" x14ac:dyDescent="0.2">
      <c r="B27" s="5"/>
      <c r="O27" s="6"/>
    </row>
    <row r="28" spans="2:15" x14ac:dyDescent="0.2">
      <c r="B28" s="5"/>
      <c r="O28" s="6"/>
    </row>
    <row r="29" spans="2:15" x14ac:dyDescent="0.2">
      <c r="B29" s="5"/>
      <c r="O29" s="6"/>
    </row>
    <row r="30" spans="2:15" x14ac:dyDescent="0.2">
      <c r="B30" s="5"/>
      <c r="O30" s="6"/>
    </row>
    <row r="31" spans="2:15" x14ac:dyDescent="0.2">
      <c r="B31" s="5"/>
      <c r="O31" s="6"/>
    </row>
    <row r="32" spans="2:15" x14ac:dyDescent="0.2">
      <c r="B32" s="5"/>
      <c r="O32" s="6"/>
    </row>
    <row r="33" spans="2:15" x14ac:dyDescent="0.2">
      <c r="B33" s="5"/>
      <c r="O33" s="6"/>
    </row>
    <row r="34" spans="2:15" x14ac:dyDescent="0.2">
      <c r="B34" s="5"/>
      <c r="O34" s="6"/>
    </row>
    <row r="35" spans="2:15" x14ac:dyDescent="0.2">
      <c r="B35" s="5"/>
      <c r="O35" s="6"/>
    </row>
    <row r="36" spans="2:15" x14ac:dyDescent="0.2">
      <c r="B36" s="5"/>
      <c r="O36" s="6"/>
    </row>
    <row r="37" spans="2:15" x14ac:dyDescent="0.2">
      <c r="B37" s="5"/>
      <c r="O37" s="6"/>
    </row>
    <row r="38" spans="2:15" x14ac:dyDescent="0.2">
      <c r="B38" s="5"/>
      <c r="O38" s="6"/>
    </row>
    <row r="39" spans="2:15" x14ac:dyDescent="0.2">
      <c r="B39" s="5"/>
      <c r="O39" s="6"/>
    </row>
    <row r="40" spans="2:15" x14ac:dyDescent="0.2">
      <c r="B40" s="5"/>
      <c r="O40" s="6"/>
    </row>
    <row r="41" spans="2:15" x14ac:dyDescent="0.2">
      <c r="B41" s="5"/>
      <c r="O41" s="6"/>
    </row>
    <row r="42" spans="2:15" x14ac:dyDescent="0.2">
      <c r="B42" s="5"/>
      <c r="O42" s="6"/>
    </row>
    <row r="43" spans="2:15" ht="15.75" thickBot="1" x14ac:dyDescent="0.2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.75" thickTop="1" x14ac:dyDescent="0.2"/>
  </sheetData>
  <mergeCells count="9">
    <mergeCell ref="D13:O13"/>
    <mergeCell ref="C7:O7"/>
    <mergeCell ref="D9:O9"/>
    <mergeCell ref="D10:O10"/>
    <mergeCell ref="D11:E11"/>
    <mergeCell ref="F11:G11"/>
    <mergeCell ref="H11:J11"/>
    <mergeCell ref="K11:L11"/>
    <mergeCell ref="M11:O11"/>
  </mergeCells>
  <pageMargins left="0.7" right="0.7" top="0.75" bottom="0.75" header="0.3" footer="0.3"/>
  <pageSetup scale="3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9" ma:contentTypeDescription="Crear nuevo documento." ma:contentTypeScope="" ma:versionID="62e5028d0a9987cb207942973a24435d">
  <xsd:schema xmlns:xsd="http://www.w3.org/2001/XMLSchema" xmlns:xs="http://www.w3.org/2001/XMLSchema" xmlns:p="http://schemas.microsoft.com/office/2006/metadata/properties" xmlns:ns3="440f87ab-1b82-4920-bd2f-b8b4e35b4305" xmlns:ns4="08bb3860-613a-4c0a-85e7-29b43b622a49" targetNamespace="http://schemas.microsoft.com/office/2006/metadata/properties" ma:root="true" ma:fieldsID="15cdcf0e6e8ccec1c6f48e7e89401c3d" ns3:_="" ns4:_="">
    <xsd:import namespace="440f87ab-1b82-4920-bd2f-b8b4e35b4305"/>
    <xsd:import namespace="08bb3860-613a-4c0a-85e7-29b43b622a4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_activity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E5612D-1281-4FD3-A82D-8D2B6938698F}">
  <ds:schemaRefs>
    <ds:schemaRef ds:uri="http://schemas.microsoft.com/office/2006/metadata/properties"/>
    <ds:schemaRef ds:uri="http://www.w3.org/2000/xmlns/"/>
    <ds:schemaRef ds:uri="08bb3860-613a-4c0a-85e7-29b43b622a49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923AAC84-E548-4579-B5B2-B902100E8A4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40f87ab-1b82-4920-bd2f-b8b4e35b4305"/>
    <ds:schemaRef ds:uri="08bb3860-613a-4c0a-85e7-29b43b622a49"/>
  </ds:schemaRefs>
</ds:datastoreItem>
</file>

<file path=customXml/itemProps3.xml><?xml version="1.0" encoding="utf-8"?>
<ds:datastoreItem xmlns:ds="http://schemas.openxmlformats.org/officeDocument/2006/customXml" ds:itemID="{27B6B917-4911-4783-B1D3-2FAB61BEDE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Costos</vt:lpstr>
      <vt:lpstr>Plantilla Curva 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CASSANDRA CAZARES OLIVAS</cp:lastModifiedBy>
  <cp:lastPrinted>2012-06-13T17:33:48Z</cp:lastPrinted>
  <dcterms:created xsi:type="dcterms:W3CDTF">2012-05-23T17:29:07Z</dcterms:created>
  <dcterms:modified xsi:type="dcterms:W3CDTF">2026-04-11T21:53:09Z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